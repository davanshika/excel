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\Desktop\"/>
    </mc:Choice>
  </mc:AlternateContent>
  <xr:revisionPtr revIDLastSave="0" documentId="8_{A8990DDC-57AF-4BE2-9FAD-4A62F101112C}" xr6:coauthVersionLast="47" xr6:coauthVersionMax="47" xr10:uidLastSave="{00000000-0000-0000-0000-000000000000}"/>
  <bookViews>
    <workbookView xWindow="-120" yWindow="-120" windowWidth="20730" windowHeight="11040" activeTab="2" xr2:uid="{D2BD7E18-3208-4BC9-953D-ED671BA8FCE9}"/>
  </bookViews>
  <sheets>
    <sheet name="Vlookup" sheetId="1" r:id="rId1"/>
    <sheet name="Hlookup" sheetId="2" r:id="rId2"/>
    <sheet name="X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3" l="1"/>
  <c r="C25" i="3"/>
  <c r="C22" i="3"/>
  <c r="C19" i="3"/>
  <c r="C16" i="3"/>
  <c r="C13" i="3"/>
  <c r="C12" i="2"/>
  <c r="C9" i="2"/>
  <c r="C6" i="2"/>
  <c r="C5" i="2"/>
  <c r="C27" i="1"/>
  <c r="C30" i="1"/>
  <c r="C24" i="1"/>
  <c r="C21" i="1"/>
  <c r="C18" i="1"/>
  <c r="C15" i="1"/>
</calcChain>
</file>

<file path=xl/sharedStrings.xml><?xml version="1.0" encoding="utf-8"?>
<sst xmlns="http://schemas.openxmlformats.org/spreadsheetml/2006/main" count="142" uniqueCount="55">
  <si>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</si>
  <si>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</si>
  <si>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</si>
  <si>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</si>
  <si>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</si>
  <si>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</si>
  <si>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</si>
  <si>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</si>
  <si>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</si>
  <si>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</si>
  <si>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</si>
  <si>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</si>
  <si>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</si>
  <si>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</si>
  <si>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</si>
  <si>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</si>
  <si>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</si>
  <si>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</si>
  <si>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</si>
  <si>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</si>
  <si>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</si>
  <si>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</si>
  <si>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</si>
  <si>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</si>
  <si>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</si>
  <si>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</si>
  <si>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</si>
  <si>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</si>
  <si>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</si>
  <si>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</si>
  <si>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</si>
  <si>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</si>
  <si>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</si>
  <si>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Employee ID</t>
  </si>
  <si>
    <t>Task 01</t>
  </si>
  <si>
    <t>Task 02</t>
  </si>
  <si>
    <t>Task 03</t>
  </si>
  <si>
    <t>Task 04</t>
  </si>
  <si>
    <t>Task 05</t>
  </si>
  <si>
    <t>Task 06</t>
  </si>
  <si>
    <t>Joining Year</t>
  </si>
  <si>
    <t>Bonus %</t>
  </si>
  <si>
    <t>Task 07</t>
  </si>
  <si>
    <t>Bonus</t>
  </si>
  <si>
    <t>Task 08</t>
  </si>
  <si>
    <t>Task 09</t>
  </si>
  <si>
    <t>Bonus Amount</t>
  </si>
  <si>
    <t>Task 10</t>
  </si>
  <si>
    <t>AI</t>
  </si>
  <si>
    <t>Task 11</t>
  </si>
  <si>
    <t>Task 12</t>
  </si>
  <si>
    <t>Task 13</t>
  </si>
  <si>
    <t>Task 14</t>
  </si>
  <si>
    <t>E999</t>
  </si>
  <si>
    <t>Task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</si>
</sst>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1"/>
      <color theme="1"/>
      <name val="Calibri"/>
      <family val="2"/>
      <scheme val="minor"/>
    </font>
    <font>
      <sz val="11"/>
      <color rgb="FF1F2328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2" borderId="1" xfId="0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righ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0" fillId="0" borderId="1" xfId="0" applyBorder="1"/>
    <xf numFmtId="0" fontId="0" fillId="2" borderId="1" xfId="0" applyFill="1" applyBorder="1" applyAlignment="1">
      <alignment horizontal="left" vertical="center" wrapText="1" indent="1"/>
    </xf>
    <xf numFmtId="9" fontId="0" fillId="2" borderId="1" xfId="0" applyNumberFormat="1" applyFill="1" applyBorder="1" applyAlignment="1">
      <alignment horizontal="right" vertical="center" wrapText="1" indent="1"/>
    </xf>
    <xf numFmtId="9" fontId="0" fillId="0" borderId="1" xfId="1" applyFont="1" applyBorder="1"/>
    <xf numFmtId="0" fontId="2" fillId="0" borderId="0" xfId="0" applyFont="1"/>
    <xf numFmtId="0" fontId="5" fillId="0" borderId="1" xfId="0" applyFont="1" applyBorder="1"/>
    <xf numFmtId="0" fontId="0" fillId="0" borderId="1" xfId="0" applyBorder="1" applyAlignment="1">
      <alignment horizontal="left"/>
    </xf>
    <xf numFmtId="0" fontId="0" fillId="5" borderId="0" xfId="0" applyFill="1" applyAlignment="1"/>
    <xf numFmtId="0" fontId="2" fillId="4" borderId="1" xfId="0" applyFont="1" applyFill="1" applyBorder="1" applyAlignment="1">
      <alignment horizontal="righ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vertical="center" wrapText="1" indent="1"/>
    </xf>
    <xf numFmtId="0" fontId="0" fillId="7" borderId="1" xfId="0" applyFill="1" applyBorder="1"/>
    <xf numFmtId="0" fontId="0" fillId="8" borderId="1" xfId="0" applyFill="1" applyBorder="1"/>
    <xf numFmtId="0" fontId="0" fillId="8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6AA9-AC05-4D5C-BAAF-57C1B34660F5}">
  <dimension ref="A1:F30"/>
  <sheetViews>
    <sheetView topLeftCell="A12" zoomScale="101" workbookViewId="0">
      <selection activeCell="B29" sqref="B29:C29"/>
    </sheetView>
  </sheetViews>
  <sheetFormatPr defaultRowHeight="15" x14ac:dyDescent="0.25"/>
  <cols>
    <col min="1" max="1" width="17.42578125" customWidth="1"/>
    <col min="2" max="2" width="17.7109375" customWidth="1"/>
    <col min="3" max="3" width="16" customWidth="1"/>
    <col min="4" max="4" width="13.5703125" bestFit="1" customWidth="1"/>
    <col min="5" max="5" width="9.5703125" bestFit="1" customWidth="1"/>
    <col min="6" max="6" width="15.85546875" bestFit="1" customWidth="1"/>
  </cols>
  <sheetData>
    <row r="1" spans="1:6" ht="34.5" x14ac:dyDescent="0.25">
      <c r="A1" s="13" t="s">
        <v>0</v>
      </c>
      <c r="B1" s="14" t="s">
        <v>1</v>
      </c>
      <c r="C1" s="14" t="s">
        <v>2</v>
      </c>
      <c r="D1" s="14" t="s">
        <v>3</v>
      </c>
      <c r="E1" s="13" t="s">
        <v>4</v>
      </c>
      <c r="F1" s="13" t="s">
        <v>5</v>
      </c>
    </row>
    <row r="2" spans="1:6" ht="17.25" x14ac:dyDescent="0.25">
      <c r="A2" s="1" t="s">
        <v>6</v>
      </c>
      <c r="B2" s="2" t="s">
        <v>7</v>
      </c>
      <c r="C2" s="2" t="s">
        <v>8</v>
      </c>
      <c r="D2" s="2" t="s">
        <v>9</v>
      </c>
      <c r="E2" s="1">
        <v>45000</v>
      </c>
      <c r="F2" s="1">
        <v>2019</v>
      </c>
    </row>
    <row r="3" spans="1:6" ht="17.25" x14ac:dyDescent="0.25">
      <c r="A3" s="3" t="s">
        <v>10</v>
      </c>
      <c r="B3" s="4" t="s">
        <v>11</v>
      </c>
      <c r="C3" s="4" t="s">
        <v>12</v>
      </c>
      <c r="D3" s="4" t="s">
        <v>13</v>
      </c>
      <c r="E3" s="3">
        <v>52000</v>
      </c>
      <c r="F3" s="3">
        <v>2018</v>
      </c>
    </row>
    <row r="4" spans="1:6" ht="17.25" x14ac:dyDescent="0.25">
      <c r="A4" s="1" t="s">
        <v>14</v>
      </c>
      <c r="B4" s="2" t="s">
        <v>15</v>
      </c>
      <c r="C4" s="2" t="s">
        <v>16</v>
      </c>
      <c r="D4" s="2" t="s">
        <v>17</v>
      </c>
      <c r="E4" s="1">
        <v>65000</v>
      </c>
      <c r="F4" s="1">
        <v>2020</v>
      </c>
    </row>
    <row r="5" spans="1:6" ht="17.25" x14ac:dyDescent="0.25">
      <c r="A5" s="3" t="s">
        <v>18</v>
      </c>
      <c r="B5" s="4" t="s">
        <v>19</v>
      </c>
      <c r="C5" s="4" t="s">
        <v>20</v>
      </c>
      <c r="D5" s="4" t="s">
        <v>21</v>
      </c>
      <c r="E5" s="3">
        <v>58000</v>
      </c>
      <c r="F5" s="3">
        <v>2017</v>
      </c>
    </row>
    <row r="6" spans="1:6" ht="17.25" x14ac:dyDescent="0.25">
      <c r="A6" s="1" t="s">
        <v>22</v>
      </c>
      <c r="B6" s="2" t="s">
        <v>23</v>
      </c>
      <c r="C6" s="2" t="s">
        <v>24</v>
      </c>
      <c r="D6" s="2" t="s">
        <v>9</v>
      </c>
      <c r="E6" s="1">
        <v>48000</v>
      </c>
      <c r="F6" s="1">
        <v>2021</v>
      </c>
    </row>
    <row r="7" spans="1:6" ht="17.25" x14ac:dyDescent="0.25">
      <c r="A7" s="3" t="s">
        <v>25</v>
      </c>
      <c r="B7" s="4" t="s">
        <v>26</v>
      </c>
      <c r="C7" s="4" t="s">
        <v>16</v>
      </c>
      <c r="D7" s="4" t="s">
        <v>27</v>
      </c>
      <c r="E7" s="3">
        <v>62000</v>
      </c>
      <c r="F7" s="3">
        <v>2019</v>
      </c>
    </row>
    <row r="8" spans="1:6" ht="17.25" x14ac:dyDescent="0.25">
      <c r="A8" s="1" t="s">
        <v>28</v>
      </c>
      <c r="B8" s="2" t="s">
        <v>29</v>
      </c>
      <c r="C8" s="2" t="s">
        <v>8</v>
      </c>
      <c r="D8" s="2" t="s">
        <v>30</v>
      </c>
      <c r="E8" s="1">
        <v>47000</v>
      </c>
      <c r="F8" s="1">
        <v>2020</v>
      </c>
    </row>
    <row r="9" spans="1:6" ht="17.25" x14ac:dyDescent="0.25">
      <c r="A9" s="3" t="s">
        <v>31</v>
      </c>
      <c r="B9" s="4" t="s">
        <v>32</v>
      </c>
      <c r="C9" s="4" t="s">
        <v>12</v>
      </c>
      <c r="D9" s="4" t="s">
        <v>17</v>
      </c>
      <c r="E9" s="3">
        <v>54000</v>
      </c>
      <c r="F9" s="3">
        <v>2016</v>
      </c>
    </row>
    <row r="12" spans="1:6" x14ac:dyDescent="0.25">
      <c r="A12" s="12"/>
      <c r="B12" s="12"/>
      <c r="C12" s="12"/>
    </row>
    <row r="14" spans="1:6" x14ac:dyDescent="0.25">
      <c r="A14" t="s">
        <v>34</v>
      </c>
      <c r="B14" s="15" t="s">
        <v>33</v>
      </c>
      <c r="C14" s="15" t="s">
        <v>1</v>
      </c>
    </row>
    <row r="15" spans="1:6" x14ac:dyDescent="0.25">
      <c r="B15" s="5" t="s">
        <v>18</v>
      </c>
      <c r="C15" s="5" t="str">
        <f>VLOOKUP(B15,A1:F9,2,0)</f>
        <v>Neha Singh</v>
      </c>
    </row>
    <row r="17" spans="1:3" x14ac:dyDescent="0.25">
      <c r="A17" t="s">
        <v>35</v>
      </c>
      <c r="B17" s="15" t="s">
        <v>33</v>
      </c>
      <c r="C17" s="15" t="s">
        <v>2</v>
      </c>
    </row>
    <row r="18" spans="1:3" x14ac:dyDescent="0.25">
      <c r="B18" s="5" t="s">
        <v>14</v>
      </c>
      <c r="C18" s="5" t="str">
        <f>VLOOKUP(B18,A1:F9,3,0)</f>
        <v>IT</v>
      </c>
    </row>
    <row r="20" spans="1:3" x14ac:dyDescent="0.25">
      <c r="A20" t="s">
        <v>36</v>
      </c>
      <c r="B20" s="15" t="s">
        <v>1</v>
      </c>
      <c r="C20" s="15" t="s">
        <v>4</v>
      </c>
    </row>
    <row r="21" spans="1:3" x14ac:dyDescent="0.25">
      <c r="B21" s="5" t="s">
        <v>19</v>
      </c>
      <c r="C21" s="11">
        <f>VLOOKUP(B21,B1:F9,4,0)</f>
        <v>58000</v>
      </c>
    </row>
    <row r="23" spans="1:3" x14ac:dyDescent="0.25">
      <c r="A23" t="s">
        <v>37</v>
      </c>
      <c r="B23" s="15" t="s">
        <v>33</v>
      </c>
      <c r="C23" s="15" t="s">
        <v>3</v>
      </c>
    </row>
    <row r="24" spans="1:3" x14ac:dyDescent="0.25">
      <c r="B24" s="5" t="s">
        <v>28</v>
      </c>
      <c r="C24" s="5" t="str">
        <f>VLOOKUP(B24,A1:F9,4,0)</f>
        <v>Hyderabad</v>
      </c>
    </row>
    <row r="26" spans="1:3" x14ac:dyDescent="0.25">
      <c r="A26" t="s">
        <v>38</v>
      </c>
      <c r="B26" s="15" t="s">
        <v>33</v>
      </c>
      <c r="C26" s="15" t="s">
        <v>1</v>
      </c>
    </row>
    <row r="27" spans="1:3" x14ac:dyDescent="0.25">
      <c r="B27" s="5" t="s">
        <v>6</v>
      </c>
      <c r="C27" s="5" t="str">
        <f>IFERROR(VLOOKUP(B27,B1:F9,4,0),"Not Found")</f>
        <v>Not Found</v>
      </c>
    </row>
    <row r="29" spans="1:3" x14ac:dyDescent="0.25">
      <c r="A29" t="s">
        <v>39</v>
      </c>
      <c r="B29" s="15" t="s">
        <v>33</v>
      </c>
      <c r="C29" s="15" t="s">
        <v>40</v>
      </c>
    </row>
    <row r="30" spans="1:3" x14ac:dyDescent="0.25">
      <c r="B30" s="5" t="s">
        <v>6</v>
      </c>
      <c r="C30" s="11">
        <f>VLOOKUP(B30,A1:F9,6,0)</f>
        <v>2019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255C-EAFD-447A-A6B0-F9976CAFB1FB}">
  <dimension ref="A1:F12"/>
  <sheetViews>
    <sheetView workbookViewId="0">
      <selection activeCell="E13" sqref="E13"/>
    </sheetView>
  </sheetViews>
  <sheetFormatPr defaultRowHeight="15" x14ac:dyDescent="0.25"/>
  <cols>
    <col min="1" max="1" width="14" customWidth="1"/>
    <col min="2" max="2" width="11.85546875" customWidth="1"/>
    <col min="3" max="3" width="15.140625" customWidth="1"/>
    <col min="5" max="5" width="11.7109375" customWidth="1"/>
    <col min="6" max="6" width="13" customWidth="1"/>
  </cols>
  <sheetData>
    <row r="1" spans="1:6" ht="22.5" customHeight="1" x14ac:dyDescent="0.25">
      <c r="A1" s="16" t="s">
        <v>2</v>
      </c>
      <c r="B1" s="17" t="s">
        <v>8</v>
      </c>
      <c r="C1" s="17" t="s">
        <v>12</v>
      </c>
      <c r="D1" s="17" t="s">
        <v>16</v>
      </c>
      <c r="E1" s="17" t="s">
        <v>20</v>
      </c>
      <c r="F1" s="17" t="s">
        <v>24</v>
      </c>
    </row>
    <row r="2" spans="1:6" ht="20.25" customHeight="1" x14ac:dyDescent="0.25">
      <c r="A2" s="6" t="s">
        <v>41</v>
      </c>
      <c r="B2" s="7">
        <v>0.1</v>
      </c>
      <c r="C2" s="7">
        <v>0.08</v>
      </c>
      <c r="D2" s="7">
        <v>0.12</v>
      </c>
      <c r="E2" s="7">
        <v>0.15</v>
      </c>
      <c r="F2" s="7">
        <v>0.09</v>
      </c>
    </row>
    <row r="4" spans="1:6" x14ac:dyDescent="0.25">
      <c r="A4" t="s">
        <v>42</v>
      </c>
      <c r="B4" s="18" t="s">
        <v>2</v>
      </c>
      <c r="C4" s="18" t="s">
        <v>43</v>
      </c>
    </row>
    <row r="5" spans="1:6" x14ac:dyDescent="0.25">
      <c r="B5" s="5" t="s">
        <v>16</v>
      </c>
      <c r="C5" s="8">
        <f>HLOOKUP(B5,A1:F2,2,0)</f>
        <v>0.12</v>
      </c>
    </row>
    <row r="6" spans="1:6" x14ac:dyDescent="0.25">
      <c r="A6" t="s">
        <v>44</v>
      </c>
      <c r="B6" s="5" t="s">
        <v>20</v>
      </c>
      <c r="C6" s="8">
        <f>HLOOKUP(B6,A1:F2,2,0)</f>
        <v>0.15</v>
      </c>
    </row>
    <row r="8" spans="1:6" x14ac:dyDescent="0.25">
      <c r="A8" t="s">
        <v>45</v>
      </c>
      <c r="B8" s="18" t="s">
        <v>33</v>
      </c>
      <c r="C8" s="18" t="s">
        <v>46</v>
      </c>
    </row>
    <row r="9" spans="1:6" x14ac:dyDescent="0.25">
      <c r="B9" s="5" t="s">
        <v>18</v>
      </c>
      <c r="C9" s="5">
        <f>VLOOKUP(B9,Vlookup!A1:F9,5,0)*HLOOKUP(VLOOKUP(Hlookup!B9,Vlookup!A1:F9,3,0),Hlookup!A1:F2,2,0)</f>
        <v>8700</v>
      </c>
    </row>
    <row r="11" spans="1:6" x14ac:dyDescent="0.25">
      <c r="A11" t="s">
        <v>47</v>
      </c>
      <c r="B11" s="18" t="s">
        <v>2</v>
      </c>
      <c r="C11" s="18" t="s">
        <v>43</v>
      </c>
    </row>
    <row r="12" spans="1:6" x14ac:dyDescent="0.25">
      <c r="B12" s="5" t="s">
        <v>48</v>
      </c>
      <c r="C12" s="5" t="str">
        <f>IFERROR(HLOOKUP(B12,A1:F2,2,0),"No Bonus Data")</f>
        <v>No Bonus Data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3E7B-A136-43E3-9BC8-A3F27077B336}">
  <dimension ref="A1:F26"/>
  <sheetViews>
    <sheetView tabSelected="1" workbookViewId="0">
      <selection activeCell="E18" sqref="E18"/>
    </sheetView>
  </sheetViews>
  <sheetFormatPr defaultRowHeight="15" x14ac:dyDescent="0.25"/>
  <cols>
    <col min="1" max="1" width="15.85546875" customWidth="1"/>
    <col min="2" max="2" width="16.7109375" bestFit="1" customWidth="1"/>
    <col min="3" max="3" width="19.7109375" customWidth="1"/>
    <col min="4" max="4" width="13.5703125" bestFit="1" customWidth="1"/>
    <col min="5" max="5" width="9.5703125" bestFit="1" customWidth="1"/>
    <col min="6" max="6" width="15.85546875" bestFit="1" customWidth="1"/>
  </cols>
  <sheetData>
    <row r="1" spans="1:6" ht="34.5" x14ac:dyDescent="0.25">
      <c r="A1" s="13" t="s">
        <v>0</v>
      </c>
      <c r="B1" s="14" t="s">
        <v>1</v>
      </c>
      <c r="C1" s="14" t="s">
        <v>2</v>
      </c>
      <c r="D1" s="14" t="s">
        <v>3</v>
      </c>
      <c r="E1" s="13" t="s">
        <v>4</v>
      </c>
      <c r="F1" s="13" t="s">
        <v>5</v>
      </c>
    </row>
    <row r="2" spans="1:6" ht="17.25" x14ac:dyDescent="0.25">
      <c r="A2" s="1" t="s">
        <v>6</v>
      </c>
      <c r="B2" s="2" t="s">
        <v>7</v>
      </c>
      <c r="C2" s="2" t="s">
        <v>8</v>
      </c>
      <c r="D2" s="2" t="s">
        <v>9</v>
      </c>
      <c r="E2" s="1">
        <v>45000</v>
      </c>
      <c r="F2" s="1">
        <v>2019</v>
      </c>
    </row>
    <row r="3" spans="1:6" ht="17.25" x14ac:dyDescent="0.25">
      <c r="A3" s="3" t="s">
        <v>10</v>
      </c>
      <c r="B3" s="4" t="s">
        <v>11</v>
      </c>
      <c r="C3" s="4" t="s">
        <v>12</v>
      </c>
      <c r="D3" s="4" t="s">
        <v>13</v>
      </c>
      <c r="E3" s="3">
        <v>52000</v>
      </c>
      <c r="F3" s="3">
        <v>2018</v>
      </c>
    </row>
    <row r="4" spans="1:6" ht="17.25" x14ac:dyDescent="0.25">
      <c r="A4" s="1" t="s">
        <v>14</v>
      </c>
      <c r="B4" s="2" t="s">
        <v>15</v>
      </c>
      <c r="C4" s="2" t="s">
        <v>16</v>
      </c>
      <c r="D4" s="2" t="s">
        <v>17</v>
      </c>
      <c r="E4" s="1">
        <v>65000</v>
      </c>
      <c r="F4" s="1">
        <v>2020</v>
      </c>
    </row>
    <row r="5" spans="1:6" ht="17.25" x14ac:dyDescent="0.25">
      <c r="A5" s="3" t="s">
        <v>18</v>
      </c>
      <c r="B5" s="4" t="s">
        <v>19</v>
      </c>
      <c r="C5" s="4" t="s">
        <v>20</v>
      </c>
      <c r="D5" s="4" t="s">
        <v>21</v>
      </c>
      <c r="E5" s="3">
        <v>58000</v>
      </c>
      <c r="F5" s="3">
        <v>2017</v>
      </c>
    </row>
    <row r="6" spans="1:6" ht="17.25" x14ac:dyDescent="0.25">
      <c r="A6" s="1" t="s">
        <v>22</v>
      </c>
      <c r="B6" s="2" t="s">
        <v>23</v>
      </c>
      <c r="C6" s="2" t="s">
        <v>24</v>
      </c>
      <c r="D6" s="2" t="s">
        <v>9</v>
      </c>
      <c r="E6" s="1">
        <v>48000</v>
      </c>
      <c r="F6" s="1">
        <v>2021</v>
      </c>
    </row>
    <row r="7" spans="1:6" ht="17.25" x14ac:dyDescent="0.25">
      <c r="A7" s="3" t="s">
        <v>25</v>
      </c>
      <c r="B7" s="4" t="s">
        <v>26</v>
      </c>
      <c r="C7" s="4" t="s">
        <v>16</v>
      </c>
      <c r="D7" s="4" t="s">
        <v>27</v>
      </c>
      <c r="E7" s="3">
        <v>62000</v>
      </c>
      <c r="F7" s="3">
        <v>2019</v>
      </c>
    </row>
    <row r="8" spans="1:6" ht="17.25" x14ac:dyDescent="0.25">
      <c r="A8" s="1" t="s">
        <v>28</v>
      </c>
      <c r="B8" s="2" t="s">
        <v>29</v>
      </c>
      <c r="C8" s="2" t="s">
        <v>8</v>
      </c>
      <c r="D8" s="2" t="s">
        <v>30</v>
      </c>
      <c r="E8" s="1">
        <v>47000</v>
      </c>
      <c r="F8" s="1">
        <v>2020</v>
      </c>
    </row>
    <row r="9" spans="1:6" ht="17.25" x14ac:dyDescent="0.25">
      <c r="A9" s="3" t="s">
        <v>31</v>
      </c>
      <c r="B9" s="4" t="s">
        <v>32</v>
      </c>
      <c r="C9" s="4" t="s">
        <v>12</v>
      </c>
      <c r="D9" s="4" t="s">
        <v>17</v>
      </c>
      <c r="E9" s="3">
        <v>54000</v>
      </c>
      <c r="F9" s="3">
        <v>2016</v>
      </c>
    </row>
    <row r="12" spans="1:6" x14ac:dyDescent="0.25">
      <c r="A12" t="s">
        <v>49</v>
      </c>
      <c r="B12" s="19" t="s">
        <v>33</v>
      </c>
      <c r="C12" s="19" t="s">
        <v>4</v>
      </c>
    </row>
    <row r="13" spans="1:6" x14ac:dyDescent="0.25">
      <c r="B13" s="5" t="s">
        <v>6</v>
      </c>
      <c r="C13" s="11">
        <f>_xlfn.XLOOKUP(B13,A1:A9,E1:E9)</f>
        <v>45000</v>
      </c>
    </row>
    <row r="15" spans="1:6" x14ac:dyDescent="0.25">
      <c r="A15" t="s">
        <v>50</v>
      </c>
      <c r="B15" s="19" t="s">
        <v>33</v>
      </c>
      <c r="C15" s="19" t="s">
        <v>2</v>
      </c>
    </row>
    <row r="16" spans="1:6" x14ac:dyDescent="0.25">
      <c r="B16" s="5" t="s">
        <v>18</v>
      </c>
      <c r="C16" s="5" t="str">
        <f>_xlfn.XLOOKUP(B16,A1:A9,C1:C9)</f>
        <v>Finance</v>
      </c>
    </row>
    <row r="17" spans="1:5" ht="17.25" x14ac:dyDescent="0.3">
      <c r="E17" s="9"/>
    </row>
    <row r="18" spans="1:5" x14ac:dyDescent="0.25">
      <c r="A18" t="s">
        <v>51</v>
      </c>
      <c r="B18" s="19" t="s">
        <v>1</v>
      </c>
      <c r="C18" s="20" t="s">
        <v>3</v>
      </c>
    </row>
    <row r="19" spans="1:5" ht="16.5" x14ac:dyDescent="0.3">
      <c r="B19" s="10" t="s">
        <v>15</v>
      </c>
      <c r="C19" s="5" t="str">
        <f>_xlfn.XLOOKUP(B19,B1:B9,D1:D9)</f>
        <v>Bangalore</v>
      </c>
    </row>
    <row r="21" spans="1:5" x14ac:dyDescent="0.25">
      <c r="A21" t="s">
        <v>52</v>
      </c>
      <c r="B21" s="19" t="s">
        <v>33</v>
      </c>
      <c r="C21" s="19" t="s">
        <v>1</v>
      </c>
    </row>
    <row r="22" spans="1:5" x14ac:dyDescent="0.25">
      <c r="B22" s="5" t="s">
        <v>53</v>
      </c>
      <c r="C22" s="5" t="str">
        <f>_xlfn.XLOOKUP(B22,A1:A9,B1:B9,"Employee Not Found")</f>
        <v>Employee Not Found</v>
      </c>
    </row>
    <row r="24" spans="1:5" x14ac:dyDescent="0.25">
      <c r="A24" t="s">
        <v>54</v>
      </c>
      <c r="B24" s="19" t="s">
        <v>2</v>
      </c>
      <c r="C24" s="19" t="s">
        <v>41</v>
      </c>
    </row>
    <row r="25" spans="1:5" x14ac:dyDescent="0.25">
      <c r="B25" s="5" t="s">
        <v>16</v>
      </c>
      <c r="C25" s="8">
        <f>_xlfn.XLOOKUP(Xlookup!B25,Hlookup!A1:F1,Hlookup!A2:F2)</f>
        <v>0.12</v>
      </c>
    </row>
    <row r="26" spans="1:5" x14ac:dyDescent="0.25">
      <c r="B26" s="5" t="s">
        <v>12</v>
      </c>
      <c r="C26" s="8">
        <f>_xlfn.XLOOKUP(B26,Hlookup!A1:F1,Hlookup!A2:F2)</f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2026-07-12T07:52:23Z</dcterms:created>
  <dcterms:modified xsi:type="dcterms:W3CDTF">2026-07-12T09:01:15Z</dcterms:modified>
</cp:coreProperties>
</file>