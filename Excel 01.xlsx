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IKA\Downloads\"/>
    </mc:Choice>
  </mc:AlternateContent>
  <xr:revisionPtr revIDLastSave="0" documentId="13_ncr:1_{9C393AF2-FD4D-4CB2-968B-A3A7939C4E95}" xr6:coauthVersionLast="47" xr6:coauthVersionMax="47" xr10:uidLastSave="{00000000-0000-0000-0000-000000000000}"/>
  <bookViews>
    <workbookView xWindow="-108" yWindow="-108" windowWidth="23256" windowHeight="13896" activeTab="9" xr2:uid="{0E6A361D-E423-4B3F-87A1-2AE610393DF9}"/>
  </bookViews>
  <sheets>
    <sheet name="Task 01" sheetId="1" r:id="rId1"/>
    <sheet name="Task 02" sheetId="2" r:id="rId2"/>
    <sheet name="Task 03" sheetId="3" r:id="rId3"/>
    <sheet name="Task 04" sheetId="4" r:id="rId4"/>
    <sheet name="Task 05" sheetId="5" r:id="rId5"/>
    <sheet name="Task 06" sheetId="6" r:id="rId6"/>
    <sheet name="Task 07" sheetId="7" r:id="rId7"/>
    <sheet name="Task 08" sheetId="8" r:id="rId8"/>
    <sheet name="Task 0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0" l="1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7" i="10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7" i="9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7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5" i="6"/>
  <c r="H4" i="6"/>
  <c r="H3" i="6"/>
  <c r="H2" i="6"/>
  <c r="G20" i="6"/>
  <c r="G16" i="6"/>
  <c r="G12" i="6"/>
  <c r="G4" i="6"/>
  <c r="G8" i="6"/>
  <c r="G3" i="6"/>
  <c r="G5" i="6"/>
  <c r="G6" i="6"/>
  <c r="H6" i="6" s="1"/>
  <c r="G7" i="6"/>
  <c r="G9" i="6"/>
  <c r="G10" i="6"/>
  <c r="G11" i="6"/>
  <c r="G13" i="6"/>
  <c r="G14" i="6"/>
  <c r="G15" i="6"/>
  <c r="G17" i="6"/>
  <c r="G18" i="6"/>
  <c r="G19" i="6"/>
  <c r="G21" i="6"/>
  <c r="G2" i="6"/>
  <c r="C22" i="4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3" i="3"/>
  <c r="F2" i="3"/>
  <c r="F6" i="3"/>
  <c r="F5" i="3"/>
  <c r="F4" i="3"/>
  <c r="H9" i="5"/>
  <c r="H8" i="5"/>
  <c r="H6" i="5"/>
  <c r="H5" i="5"/>
  <c r="H4" i="5"/>
  <c r="B25" i="4"/>
  <c r="B24" i="4"/>
  <c r="B23" i="4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E8" i="7" l="1"/>
  <c r="E9" i="7"/>
</calcChain>
</file>

<file path=xl/sharedStrings.xml><?xml version="1.0" encoding="utf-8"?>
<sst xmlns="http://schemas.openxmlformats.org/spreadsheetml/2006/main" count="450" uniqueCount="152">
  <si>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</si>
  <si>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</si>
  <si>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</si>
  <si>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</si>
  <si>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</si>
  <si>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</si>
  <si>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</si>
  <si>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</si>
  <si>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</si>
  <si>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</si>
  <si>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</si>
  <si>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</si>
  <si>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</si>
  <si>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</si>
  <si>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</si>
  <si>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</si>
  <si>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</si>
  <si>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</si>
  <si>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</si>
  <si>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</si>
  <si>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Amit Sharma</t>
  </si>
  <si>
    <t>Neha Verma</t>
  </si>
  <si>
    <t>Rahul Mehta</t>
  </si>
  <si>
    <t>Pooja Singh</t>
  </si>
  <si>
    <t>Ankit Patel</t>
  </si>
  <si>
    <t>HR</t>
  </si>
  <si>
    <t>IT</t>
  </si>
  <si>
    <t>Finance</t>
  </si>
  <si>
    <t>Sales</t>
  </si>
  <si>
    <t>Monthly Salary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</si>
  <si>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</si>
  <si>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</si>
  <si>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</si>
  <si>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</si>
  <si>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</si>
  <si>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</si>
  <si>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</si>
  <si>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</si>
  <si>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</si>
  <si>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</si>
  <si>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</si>
  <si>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</si>
  <si>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</si>
  <si>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</si>
  <si>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</si>
  <si>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</si>
  <si>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</si>
  <si>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</si>
  <si>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</si>
  <si>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</si>
  <si>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</si>
  <si>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</si>
  <si>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</si>
  <si>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</si>
  <si>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</si>
  <si>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</si>
  <si>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</si>
  <si>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</si>
  <si>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</si>
  <si>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</si>
  <si>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</si>
  <si>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</si>
  <si>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</si>
  <si>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</si>
  <si>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</si>
  <si>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</si>
  <si>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</si>
  <si>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</si>
  <si>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</si>
  <si>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</si>
  <si>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</si>
  <si>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</si>
  <si>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</si>
  <si>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</si>
  <si>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</si>
  <si>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</si>
  <si>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</si>
  <si>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</si>
  <si>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</si>
  <si>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</si>
  <si>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</si>
  <si>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</si>
  <si>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</si>
  <si>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HIGHEST</t>
  </si>
  <si>
    <t>LOWEST</t>
  </si>
  <si>
    <t xml:space="preserve">AVERAGE </t>
  </si>
  <si>
    <t>Employee Name</t>
  </si>
  <si>
    <t>Department</t>
  </si>
  <si>
    <t>Salary</t>
  </si>
  <si>
    <t>Suresh</t>
  </si>
  <si>
    <t>Meena</t>
  </si>
  <si>
    <t>Karan</t>
  </si>
  <si>
    <t>Ritu</t>
  </si>
  <si>
    <t>Aman</t>
  </si>
  <si>
    <t>Neel</t>
  </si>
  <si>
    <t xml:space="preserve">TOTAL SALARY OF HR </t>
  </si>
  <si>
    <t>TOTAL SALARY OF IT</t>
  </si>
  <si>
    <t>TOTAL SALARY OF FINANCE</t>
  </si>
  <si>
    <t>AVERAGE SALARY</t>
  </si>
  <si>
    <t>COUNT EMPLOYEE</t>
  </si>
  <si>
    <t>Day 1</t>
  </si>
  <si>
    <t>Day 2</t>
  </si>
  <si>
    <t>Day 3</t>
  </si>
  <si>
    <t>Day 4</t>
  </si>
  <si>
    <t>Day 5</t>
  </si>
  <si>
    <t>P</t>
  </si>
  <si>
    <t>A</t>
  </si>
  <si>
    <t>Employee ID</t>
  </si>
  <si>
    <t>Name</t>
  </si>
  <si>
    <t>Joining Date</t>
  </si>
  <si>
    <t>TOTAL SALES</t>
  </si>
  <si>
    <t>Present Day</t>
  </si>
  <si>
    <t>Absent Day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</si>
  <si>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</si>
  <si>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</si>
  <si>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</si>
  <si>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</si>
  <si>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</si>
  <si>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</si>
  <si>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</si>
  <si>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</si>
  <si>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</si>
  <si>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</si>
  <si>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</si>
  <si>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</si>
  <si>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</si>
  <si>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</si>
  <si>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</si>
  <si>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</si>
  <si>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</si>
  <si>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</si>
  <si>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</si>
  <si>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</si>
  <si>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</si>
  <si>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 sales above 10000</t>
  </si>
  <si>
    <t>Count sales below 5000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</si>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</sst>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theme="1"/>
      <name val="Calibri"/>
      <family val="2"/>
      <scheme val="minor"/>
    </font>
    <font>
      <sz val="16"/>
      <color theme="1" tint="4.9989318521683403E-2"/>
      <name val="Segoe UI"/>
      <family val="2"/>
    </font>
    <font>
      <sz val="18"/>
      <color theme="1"/>
      <name val="Calibri"/>
      <family val="2"/>
      <scheme val="minor"/>
    </font>
    <font>
      <sz val="16"/>
      <color rgb="FF1F2328"/>
      <name val="Segoe UI"/>
      <family val="2"/>
    </font>
    <font>
      <sz val="14"/>
      <color theme="0"/>
      <name val="Calibri"/>
      <family val="2"/>
      <scheme val="minor"/>
    </font>
    <font>
      <b/>
      <sz val="12"/>
      <color theme="0" tint="-4.9989318521683403E-2"/>
      <name val="Segoe UI"/>
      <family val="2"/>
    </font>
    <font>
      <sz val="10"/>
      <color theme="0"/>
      <name val="Segoe UI"/>
      <family val="2"/>
    </font>
    <font>
      <sz val="10"/>
      <color theme="7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4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wrapText="1" indent="1"/>
    </xf>
    <xf numFmtId="44" fontId="6" fillId="5" borderId="1" xfId="1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wrapText="1" indent="1"/>
    </xf>
    <xf numFmtId="44" fontId="6" fillId="6" borderId="1" xfId="1" applyFont="1" applyFill="1" applyBorder="1" applyAlignment="1">
      <alignment horizontal="left" vertical="center" wrapText="1" indent="1"/>
    </xf>
    <xf numFmtId="44" fontId="0" fillId="0" borderId="1" xfId="1" applyFont="1" applyBorder="1" applyAlignment="1">
      <alignment horizontal="left" indent="1"/>
    </xf>
    <xf numFmtId="0" fontId="8" fillId="6" borderId="2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1" fillId="3" borderId="1" xfId="3" applyBorder="1" applyAlignment="1">
      <alignment horizontal="left" vertical="center" wrapText="1" indent="1"/>
    </xf>
    <xf numFmtId="9" fontId="1" fillId="3" borderId="1" xfId="3" applyNumberFormat="1" applyBorder="1"/>
    <xf numFmtId="0" fontId="3" fillId="2" borderId="1" xfId="2" applyBorder="1" applyAlignment="1">
      <alignment horizontal="center" vertical="center" wrapText="1"/>
    </xf>
    <xf numFmtId="0" fontId="3" fillId="2" borderId="1" xfId="2" applyBorder="1" applyAlignment="1">
      <alignment horizontal="center" vertical="center"/>
    </xf>
    <xf numFmtId="0" fontId="2" fillId="7" borderId="1" xfId="0" applyFont="1" applyFill="1" applyBorder="1"/>
    <xf numFmtId="165" fontId="0" fillId="0" borderId="1" xfId="1" applyNumberFormat="1" applyFont="1" applyBorder="1"/>
    <xf numFmtId="0" fontId="9" fillId="4" borderId="1" xfId="0" applyFont="1" applyFill="1" applyBorder="1" applyAlignment="1">
      <alignment horizontal="center" vertical="center"/>
    </xf>
    <xf numFmtId="0" fontId="1" fillId="12" borderId="1" xfId="7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 indent="1"/>
    </xf>
    <xf numFmtId="14" fontId="8" fillId="14" borderId="1" xfId="0" applyNumberFormat="1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left" vertical="center" wrapText="1" indent="1"/>
    </xf>
    <xf numFmtId="0" fontId="11" fillId="15" borderId="1" xfId="0" applyFont="1" applyFill="1" applyBorder="1"/>
    <xf numFmtId="0" fontId="0" fillId="15" borderId="1" xfId="0" applyFill="1" applyBorder="1"/>
    <xf numFmtId="0" fontId="12" fillId="4" borderId="1" xfId="0" applyFont="1" applyFill="1" applyBorder="1" applyAlignment="1">
      <alignment horizontal="center" vertical="center" wrapText="1"/>
    </xf>
    <xf numFmtId="0" fontId="13" fillId="9" borderId="1" xfId="4" applyFont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 wrapText="1"/>
    </xf>
    <xf numFmtId="0" fontId="1" fillId="3" borderId="1" xfId="3" applyBorder="1" applyAlignment="1">
      <alignment horizontal="center" vertical="center"/>
    </xf>
    <xf numFmtId="0" fontId="1" fillId="3" borderId="1" xfId="3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/>
    <xf numFmtId="0" fontId="3" fillId="10" borderId="1" xfId="5" applyBorder="1" applyAlignment="1">
      <alignment horizontal="center" vertical="center" wrapText="1"/>
    </xf>
    <xf numFmtId="0" fontId="1" fillId="11" borderId="1" xfId="6" applyBorder="1" applyAlignment="1">
      <alignment horizontal="center" vertical="center" wrapText="1"/>
    </xf>
    <xf numFmtId="0" fontId="1" fillId="11" borderId="1" xfId="6" applyBorder="1" applyAlignment="1">
      <alignment horizontal="center"/>
    </xf>
    <xf numFmtId="0" fontId="15" fillId="17" borderId="6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3" fillId="2" borderId="1" xfId="2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</cellXfs>
  <cellStyles count="8">
    <cellStyle name="40% - Accent1" xfId="3" builtinId="31"/>
    <cellStyle name="40% - Accent3" xfId="6" builtinId="39"/>
    <cellStyle name="60% - Accent5" xfId="7" builtinId="48"/>
    <cellStyle name="Accent1" xfId="2" builtinId="29"/>
    <cellStyle name="Accent2" xfId="4" builtinId="33"/>
    <cellStyle name="Accent3" xfId="5" builtinId="37"/>
    <cellStyle name="Currency" xfId="1" builtinId="4"/>
    <cellStyle name="Normal" xfId="0" builtinId="0"/>
  </cellStyles>
  <dxfs count="8">
    <dxf>
      <font>
        <color theme="0"/>
      </font>
      <fill>
        <patternFill patternType="solid">
          <fgColor rgb="FFFFFFFF"/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204C-F60B-4238-9421-C8E3D1390BDC}">
  <dimension ref="A1:E21"/>
  <sheetViews>
    <sheetView workbookViewId="0">
      <selection activeCell="J27" sqref="J27"/>
    </sheetView>
  </sheetViews>
  <sheetFormatPr defaultRowHeight="14.4" x14ac:dyDescent="0.3"/>
  <cols>
    <col min="1" max="1" width="12.6640625" bestFit="1" customWidth="1"/>
    <col min="2" max="2" width="11.33203125" bestFit="1" customWidth="1"/>
    <col min="3" max="3" width="12.33203125" bestFit="1" customWidth="1"/>
    <col min="4" max="4" width="10.44140625" bestFit="1" customWidth="1"/>
    <col min="5" max="5" width="16.5546875" bestFit="1" customWidth="1"/>
  </cols>
  <sheetData>
    <row r="1" spans="1:5" ht="27" customHeight="1" x14ac:dyDescent="0.3">
      <c r="A1" s="19" t="s">
        <v>107</v>
      </c>
      <c r="B1" s="19" t="s">
        <v>108</v>
      </c>
      <c r="C1" s="19" t="s">
        <v>87</v>
      </c>
      <c r="D1" s="19" t="s">
        <v>88</v>
      </c>
      <c r="E1" s="19" t="s">
        <v>109</v>
      </c>
    </row>
    <row r="2" spans="1:5" x14ac:dyDescent="0.3">
      <c r="A2" s="1" t="s">
        <v>0</v>
      </c>
      <c r="B2" s="1" t="s">
        <v>20</v>
      </c>
      <c r="C2" s="1" t="s">
        <v>25</v>
      </c>
      <c r="D2" s="2">
        <v>32000</v>
      </c>
      <c r="E2" s="18">
        <v>44573</v>
      </c>
    </row>
    <row r="3" spans="1:5" x14ac:dyDescent="0.3">
      <c r="A3" s="1" t="s">
        <v>1</v>
      </c>
      <c r="B3" s="1" t="s">
        <v>21</v>
      </c>
      <c r="C3" s="1" t="s">
        <v>26</v>
      </c>
      <c r="D3" s="2">
        <v>45000</v>
      </c>
      <c r="E3" s="18">
        <v>44260</v>
      </c>
    </row>
    <row r="4" spans="1:5" x14ac:dyDescent="0.3">
      <c r="A4" s="1" t="s">
        <v>2</v>
      </c>
      <c r="B4" s="1" t="s">
        <v>22</v>
      </c>
      <c r="C4" s="1" t="s">
        <v>27</v>
      </c>
      <c r="D4" s="2">
        <v>38000</v>
      </c>
      <c r="E4" s="18">
        <v>44030</v>
      </c>
    </row>
    <row r="5" spans="1:5" x14ac:dyDescent="0.3">
      <c r="A5" s="1" t="s">
        <v>3</v>
      </c>
      <c r="B5" s="1" t="s">
        <v>23</v>
      </c>
      <c r="C5" s="1" t="s">
        <v>26</v>
      </c>
      <c r="D5" s="2">
        <v>52000</v>
      </c>
      <c r="E5" s="18">
        <v>43779</v>
      </c>
    </row>
    <row r="6" spans="1:5" x14ac:dyDescent="0.3">
      <c r="A6" s="1" t="s">
        <v>4</v>
      </c>
      <c r="B6" s="1" t="s">
        <v>24</v>
      </c>
      <c r="C6" s="1" t="s">
        <v>28</v>
      </c>
      <c r="D6" s="2">
        <v>30000</v>
      </c>
      <c r="E6" s="18">
        <v>45102</v>
      </c>
    </row>
    <row r="7" spans="1:5" x14ac:dyDescent="0.3">
      <c r="A7" s="1" t="s">
        <v>5</v>
      </c>
      <c r="B7" s="1" t="s">
        <v>20</v>
      </c>
      <c r="C7" s="1" t="s">
        <v>25</v>
      </c>
      <c r="D7" s="2">
        <v>62000</v>
      </c>
      <c r="E7" s="18">
        <v>44573</v>
      </c>
    </row>
    <row r="8" spans="1:5" x14ac:dyDescent="0.3">
      <c r="A8" s="1" t="s">
        <v>6</v>
      </c>
      <c r="B8" s="1" t="s">
        <v>21</v>
      </c>
      <c r="C8" s="1" t="s">
        <v>26</v>
      </c>
      <c r="D8" s="2">
        <v>54000</v>
      </c>
      <c r="E8" s="18">
        <v>44260</v>
      </c>
    </row>
    <row r="9" spans="1:5" x14ac:dyDescent="0.3">
      <c r="A9" s="1" t="s">
        <v>7</v>
      </c>
      <c r="B9" s="1" t="s">
        <v>22</v>
      </c>
      <c r="C9" s="1" t="s">
        <v>27</v>
      </c>
      <c r="D9" s="2">
        <v>74000</v>
      </c>
      <c r="E9" s="18">
        <v>44030</v>
      </c>
    </row>
    <row r="10" spans="1:5" x14ac:dyDescent="0.3">
      <c r="A10" s="1" t="s">
        <v>8</v>
      </c>
      <c r="B10" s="1" t="s">
        <v>23</v>
      </c>
      <c r="C10" s="1" t="s">
        <v>26</v>
      </c>
      <c r="D10" s="2">
        <v>38000</v>
      </c>
      <c r="E10" s="18">
        <v>43779</v>
      </c>
    </row>
    <row r="11" spans="1:5" x14ac:dyDescent="0.3">
      <c r="A11" s="1" t="s">
        <v>9</v>
      </c>
      <c r="B11" s="1" t="s">
        <v>24</v>
      </c>
      <c r="C11" s="1" t="s">
        <v>28</v>
      </c>
      <c r="D11" s="2">
        <v>63000</v>
      </c>
      <c r="E11" s="18">
        <v>45102</v>
      </c>
    </row>
    <row r="12" spans="1:5" x14ac:dyDescent="0.3">
      <c r="A12" s="1" t="s">
        <v>10</v>
      </c>
      <c r="B12" s="1" t="s">
        <v>20</v>
      </c>
      <c r="C12" s="1" t="s">
        <v>25</v>
      </c>
      <c r="D12" s="2">
        <v>68000</v>
      </c>
      <c r="E12" s="18">
        <v>44573</v>
      </c>
    </row>
    <row r="13" spans="1:5" x14ac:dyDescent="0.3">
      <c r="A13" s="1" t="s">
        <v>11</v>
      </c>
      <c r="B13" s="1" t="s">
        <v>21</v>
      </c>
      <c r="C13" s="1" t="s">
        <v>26</v>
      </c>
      <c r="D13" s="2">
        <v>33000</v>
      </c>
      <c r="E13" s="18">
        <v>44260</v>
      </c>
    </row>
    <row r="14" spans="1:5" x14ac:dyDescent="0.3">
      <c r="A14" s="1" t="s">
        <v>12</v>
      </c>
      <c r="B14" s="1" t="s">
        <v>22</v>
      </c>
      <c r="C14" s="1" t="s">
        <v>27</v>
      </c>
      <c r="D14" s="2">
        <v>64000</v>
      </c>
      <c r="E14" s="18">
        <v>44030</v>
      </c>
    </row>
    <row r="15" spans="1:5" x14ac:dyDescent="0.3">
      <c r="A15" s="1" t="s">
        <v>13</v>
      </c>
      <c r="B15" s="1" t="s">
        <v>23</v>
      </c>
      <c r="C15" s="1" t="s">
        <v>26</v>
      </c>
      <c r="D15" s="2">
        <v>55000</v>
      </c>
      <c r="E15" s="18">
        <v>43779</v>
      </c>
    </row>
    <row r="16" spans="1:5" x14ac:dyDescent="0.3">
      <c r="A16" s="1" t="s">
        <v>14</v>
      </c>
      <c r="B16" s="1" t="s">
        <v>24</v>
      </c>
      <c r="C16" s="1" t="s">
        <v>28</v>
      </c>
      <c r="D16" s="2">
        <v>34550</v>
      </c>
      <c r="E16" s="18">
        <v>45102</v>
      </c>
    </row>
    <row r="17" spans="1:5" x14ac:dyDescent="0.3">
      <c r="A17" s="1" t="s">
        <v>15</v>
      </c>
      <c r="B17" s="1" t="s">
        <v>20</v>
      </c>
      <c r="C17" s="1" t="s">
        <v>25</v>
      </c>
      <c r="D17" s="2">
        <v>45000</v>
      </c>
      <c r="E17" s="18">
        <v>44573</v>
      </c>
    </row>
    <row r="18" spans="1:5" x14ac:dyDescent="0.3">
      <c r="A18" s="1" t="s">
        <v>16</v>
      </c>
      <c r="B18" s="1" t="s">
        <v>21</v>
      </c>
      <c r="C18" s="1" t="s">
        <v>26</v>
      </c>
      <c r="D18" s="2">
        <v>54600</v>
      </c>
      <c r="E18" s="18">
        <v>44260</v>
      </c>
    </row>
    <row r="19" spans="1:5" x14ac:dyDescent="0.3">
      <c r="A19" s="1" t="s">
        <v>17</v>
      </c>
      <c r="B19" s="1" t="s">
        <v>22</v>
      </c>
      <c r="C19" s="1" t="s">
        <v>27</v>
      </c>
      <c r="D19" s="2">
        <v>45000</v>
      </c>
      <c r="E19" s="18">
        <v>44030</v>
      </c>
    </row>
    <row r="20" spans="1:5" x14ac:dyDescent="0.3">
      <c r="A20" s="1" t="s">
        <v>18</v>
      </c>
      <c r="B20" s="1" t="s">
        <v>23</v>
      </c>
      <c r="C20" s="1" t="s">
        <v>26</v>
      </c>
      <c r="D20" s="2">
        <v>43330</v>
      </c>
      <c r="E20" s="18">
        <v>43779</v>
      </c>
    </row>
    <row r="21" spans="1:5" x14ac:dyDescent="0.3">
      <c r="A21" s="1" t="s">
        <v>19</v>
      </c>
      <c r="B21" s="1" t="s">
        <v>24</v>
      </c>
      <c r="C21" s="1" t="s">
        <v>28</v>
      </c>
      <c r="D21" s="2">
        <v>56750</v>
      </c>
      <c r="E21" s="18">
        <v>45102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F40B-8832-4BC3-9CE3-2C4ACDE17745}">
  <dimension ref="A1:D22"/>
  <sheetViews>
    <sheetView workbookViewId="0">
      <selection activeCell="G25" sqref="G25"/>
    </sheetView>
  </sheetViews>
  <sheetFormatPr defaultRowHeight="14.4" x14ac:dyDescent="0.3"/>
  <cols>
    <col min="1" max="1" width="18.109375" customWidth="1"/>
    <col min="2" max="2" width="17.33203125" customWidth="1"/>
    <col min="3" max="4" width="13.33203125" customWidth="1"/>
  </cols>
  <sheetData>
    <row r="1" spans="1:4" x14ac:dyDescent="0.3">
      <c r="A1" s="43" t="s">
        <v>29</v>
      </c>
      <c r="B1" s="43"/>
      <c r="C1" s="43"/>
      <c r="D1" s="43"/>
    </row>
    <row r="2" spans="1:4" x14ac:dyDescent="0.3">
      <c r="A2" s="20" t="s">
        <v>30</v>
      </c>
      <c r="B2" s="20" t="s">
        <v>31</v>
      </c>
      <c r="C2" s="20" t="s">
        <v>32</v>
      </c>
      <c r="D2" s="20" t="s">
        <v>33</v>
      </c>
    </row>
    <row r="3" spans="1:4" ht="15" x14ac:dyDescent="0.3">
      <c r="A3" s="4" t="s">
        <v>34</v>
      </c>
      <c r="B3" s="5" t="s">
        <v>35</v>
      </c>
      <c r="C3" s="6">
        <v>45000</v>
      </c>
      <c r="D3" s="5" t="s">
        <v>36</v>
      </c>
    </row>
    <row r="4" spans="1:4" ht="15" x14ac:dyDescent="0.3">
      <c r="A4" s="7" t="s">
        <v>37</v>
      </c>
      <c r="B4" s="8" t="s">
        <v>38</v>
      </c>
      <c r="C4" s="9">
        <v>1200</v>
      </c>
      <c r="D4" s="8" t="s">
        <v>39</v>
      </c>
    </row>
    <row r="5" spans="1:4" ht="15" x14ac:dyDescent="0.3">
      <c r="A5" s="4" t="s">
        <v>40</v>
      </c>
      <c r="B5" s="5" t="s">
        <v>41</v>
      </c>
      <c r="C5" s="6">
        <v>18000</v>
      </c>
      <c r="D5" s="5" t="s">
        <v>42</v>
      </c>
    </row>
    <row r="6" spans="1:4" ht="15" x14ac:dyDescent="0.3">
      <c r="A6" s="7" t="s">
        <v>43</v>
      </c>
      <c r="B6" s="8" t="s">
        <v>44</v>
      </c>
      <c r="C6" s="9">
        <v>62000</v>
      </c>
      <c r="D6" s="8" t="s">
        <v>45</v>
      </c>
    </row>
    <row r="7" spans="1:4" ht="15" x14ac:dyDescent="0.3">
      <c r="A7" s="4" t="s">
        <v>46</v>
      </c>
      <c r="B7" s="5" t="s">
        <v>35</v>
      </c>
      <c r="C7" s="10">
        <f ca="1">RANDBETWEEN(1200,63000)</f>
        <v>14302</v>
      </c>
      <c r="D7" s="5" t="s">
        <v>36</v>
      </c>
    </row>
    <row r="8" spans="1:4" ht="15" x14ac:dyDescent="0.3">
      <c r="A8" s="7" t="s">
        <v>37</v>
      </c>
      <c r="B8" s="8" t="s">
        <v>38</v>
      </c>
      <c r="C8" s="10">
        <f t="shared" ref="C8:C22" ca="1" si="0">RANDBETWEEN(1200,63000)</f>
        <v>8984</v>
      </c>
      <c r="D8" s="8" t="s">
        <v>39</v>
      </c>
    </row>
    <row r="9" spans="1:4" ht="15" x14ac:dyDescent="0.3">
      <c r="A9" s="4" t="s">
        <v>40</v>
      </c>
      <c r="B9" s="5" t="s">
        <v>41</v>
      </c>
      <c r="C9" s="10">
        <f t="shared" ca="1" si="0"/>
        <v>2834</v>
      </c>
      <c r="D9" s="5" t="s">
        <v>42</v>
      </c>
    </row>
    <row r="10" spans="1:4" ht="15" x14ac:dyDescent="0.3">
      <c r="A10" s="7" t="s">
        <v>43</v>
      </c>
      <c r="B10" s="8" t="s">
        <v>44</v>
      </c>
      <c r="C10" s="10">
        <f t="shared" ca="1" si="0"/>
        <v>38318</v>
      </c>
      <c r="D10" s="8" t="s">
        <v>45</v>
      </c>
    </row>
    <row r="11" spans="1:4" ht="15" x14ac:dyDescent="0.3">
      <c r="A11" s="4" t="s">
        <v>47</v>
      </c>
      <c r="B11" s="5" t="s">
        <v>35</v>
      </c>
      <c r="C11" s="10">
        <f t="shared" ca="1" si="0"/>
        <v>60012</v>
      </c>
      <c r="D11" s="5" t="s">
        <v>36</v>
      </c>
    </row>
    <row r="12" spans="1:4" ht="15" x14ac:dyDescent="0.3">
      <c r="A12" s="7" t="s">
        <v>37</v>
      </c>
      <c r="B12" s="8" t="s">
        <v>38</v>
      </c>
      <c r="C12" s="10">
        <f t="shared" ca="1" si="0"/>
        <v>48872</v>
      </c>
      <c r="D12" s="8" t="s">
        <v>39</v>
      </c>
    </row>
    <row r="13" spans="1:4" ht="15" x14ac:dyDescent="0.3">
      <c r="A13" s="4" t="s">
        <v>40</v>
      </c>
      <c r="B13" s="5" t="s">
        <v>41</v>
      </c>
      <c r="C13" s="10">
        <f t="shared" ca="1" si="0"/>
        <v>52852</v>
      </c>
      <c r="D13" s="5" t="s">
        <v>42</v>
      </c>
    </row>
    <row r="14" spans="1:4" ht="15" x14ac:dyDescent="0.3">
      <c r="A14" s="7" t="s">
        <v>43</v>
      </c>
      <c r="B14" s="8" t="s">
        <v>44</v>
      </c>
      <c r="C14" s="10">
        <f t="shared" ca="1" si="0"/>
        <v>42035</v>
      </c>
      <c r="D14" s="8" t="s">
        <v>45</v>
      </c>
    </row>
    <row r="15" spans="1:4" ht="15" x14ac:dyDescent="0.3">
      <c r="A15" s="4" t="s">
        <v>48</v>
      </c>
      <c r="B15" s="5" t="s">
        <v>35</v>
      </c>
      <c r="C15" s="10">
        <f t="shared" ca="1" si="0"/>
        <v>54815</v>
      </c>
      <c r="D15" s="5" t="s">
        <v>36</v>
      </c>
    </row>
    <row r="16" spans="1:4" ht="15" x14ac:dyDescent="0.3">
      <c r="A16" s="7" t="s">
        <v>37</v>
      </c>
      <c r="B16" s="8" t="s">
        <v>38</v>
      </c>
      <c r="C16" s="10">
        <f t="shared" ca="1" si="0"/>
        <v>59311</v>
      </c>
      <c r="D16" s="8" t="s">
        <v>39</v>
      </c>
    </row>
    <row r="17" spans="1:4" ht="15" x14ac:dyDescent="0.3">
      <c r="A17" s="4" t="s">
        <v>40</v>
      </c>
      <c r="B17" s="5" t="s">
        <v>41</v>
      </c>
      <c r="C17" s="10">
        <f t="shared" ca="1" si="0"/>
        <v>52299</v>
      </c>
      <c r="D17" s="5" t="s">
        <v>42</v>
      </c>
    </row>
    <row r="18" spans="1:4" ht="15" x14ac:dyDescent="0.3">
      <c r="A18" s="7" t="s">
        <v>43</v>
      </c>
      <c r="B18" s="8" t="s">
        <v>44</v>
      </c>
      <c r="C18" s="10">
        <f t="shared" ca="1" si="0"/>
        <v>47557</v>
      </c>
      <c r="D18" s="8" t="s">
        <v>45</v>
      </c>
    </row>
    <row r="19" spans="1:4" ht="15" x14ac:dyDescent="0.3">
      <c r="A19" s="4" t="s">
        <v>49</v>
      </c>
      <c r="B19" s="5" t="s">
        <v>35</v>
      </c>
      <c r="C19" s="10">
        <f t="shared" ca="1" si="0"/>
        <v>31177</v>
      </c>
      <c r="D19" s="5" t="s">
        <v>36</v>
      </c>
    </row>
    <row r="20" spans="1:4" ht="15" x14ac:dyDescent="0.3">
      <c r="A20" s="7" t="s">
        <v>37</v>
      </c>
      <c r="B20" s="8" t="s">
        <v>38</v>
      </c>
      <c r="C20" s="10">
        <f t="shared" ca="1" si="0"/>
        <v>53632</v>
      </c>
      <c r="D20" s="8" t="s">
        <v>39</v>
      </c>
    </row>
    <row r="21" spans="1:4" ht="15" x14ac:dyDescent="0.3">
      <c r="A21" s="4" t="s">
        <v>40</v>
      </c>
      <c r="B21" s="5" t="s">
        <v>41</v>
      </c>
      <c r="C21" s="10">
        <f t="shared" ca="1" si="0"/>
        <v>32805</v>
      </c>
      <c r="D21" s="5" t="s">
        <v>42</v>
      </c>
    </row>
    <row r="22" spans="1:4" ht="15" x14ac:dyDescent="0.3">
      <c r="A22" s="7" t="s">
        <v>43</v>
      </c>
      <c r="B22" s="8" t="s">
        <v>44</v>
      </c>
      <c r="C22" s="10">
        <f t="shared" ca="1" si="0"/>
        <v>44862</v>
      </c>
      <c r="D22" s="8" t="s">
        <v>45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4536-1BDE-4407-BFBA-E6F09FBE76C2}">
  <dimension ref="A1:F23"/>
  <sheetViews>
    <sheetView workbookViewId="0">
      <selection activeCell="G15" sqref="G15"/>
    </sheetView>
  </sheetViews>
  <sheetFormatPr defaultRowHeight="14.4" x14ac:dyDescent="0.3"/>
  <cols>
    <col min="1" max="1" width="16.6640625" customWidth="1"/>
    <col min="2" max="2" width="16.88671875" customWidth="1"/>
    <col min="3" max="3" width="12.109375" customWidth="1"/>
    <col min="4" max="4" width="13.109375" customWidth="1"/>
    <col min="5" max="5" width="11" customWidth="1"/>
    <col min="6" max="6" width="15.33203125" customWidth="1"/>
    <col min="7" max="7" width="14.88671875" customWidth="1"/>
  </cols>
  <sheetData>
    <row r="1" spans="1:6" x14ac:dyDescent="0.3">
      <c r="A1" s="15" t="s">
        <v>50</v>
      </c>
      <c r="B1" s="15" t="s">
        <v>51</v>
      </c>
      <c r="C1" s="15" t="s">
        <v>52</v>
      </c>
      <c r="D1" s="15" t="s">
        <v>53</v>
      </c>
      <c r="E1" s="15" t="s">
        <v>54</v>
      </c>
      <c r="F1" s="16" t="s">
        <v>55</v>
      </c>
    </row>
    <row r="2" spans="1:6" x14ac:dyDescent="0.3">
      <c r="A2" s="13">
        <v>1</v>
      </c>
      <c r="B2" s="13" t="s">
        <v>56</v>
      </c>
      <c r="C2" s="13">
        <v>78</v>
      </c>
      <c r="D2" s="13">
        <v>82</v>
      </c>
      <c r="E2" s="13">
        <v>74</v>
      </c>
      <c r="F2" s="14">
        <f>AVERAGE(C2:E2)/100</f>
        <v>0.78</v>
      </c>
    </row>
    <row r="3" spans="1:6" x14ac:dyDescent="0.3">
      <c r="A3" s="13">
        <v>2</v>
      </c>
      <c r="B3" s="13" t="s">
        <v>57</v>
      </c>
      <c r="C3" s="13">
        <v>65</v>
      </c>
      <c r="D3" s="13">
        <v>70</v>
      </c>
      <c r="E3" s="13">
        <v>68</v>
      </c>
      <c r="F3" s="14">
        <f>AVERAGE(C3:E3)/100</f>
        <v>0.67666666666666675</v>
      </c>
    </row>
    <row r="4" spans="1:6" x14ac:dyDescent="0.3">
      <c r="A4" s="13">
        <v>3</v>
      </c>
      <c r="B4" s="13" t="s">
        <v>58</v>
      </c>
      <c r="C4" s="13">
        <v>90</v>
      </c>
      <c r="D4" s="13">
        <v>88</v>
      </c>
      <c r="E4" s="13">
        <v>92</v>
      </c>
      <c r="F4" s="14">
        <f>AVERAGE(C4:E4)/100</f>
        <v>0.9</v>
      </c>
    </row>
    <row r="5" spans="1:6" x14ac:dyDescent="0.3">
      <c r="A5" s="13">
        <v>4</v>
      </c>
      <c r="B5" s="13" t="s">
        <v>59</v>
      </c>
      <c r="C5" s="13">
        <v>35</v>
      </c>
      <c r="D5" s="13">
        <v>40</v>
      </c>
      <c r="E5" s="13">
        <v>38</v>
      </c>
      <c r="F5" s="14">
        <f>AVERAGE(C5:E5)/100</f>
        <v>0.37666666666666665</v>
      </c>
    </row>
    <row r="6" spans="1:6" x14ac:dyDescent="0.3">
      <c r="A6" s="13">
        <v>5</v>
      </c>
      <c r="B6" s="13" t="s">
        <v>60</v>
      </c>
      <c r="C6" s="13">
        <v>55</v>
      </c>
      <c r="D6" s="13">
        <v>60</v>
      </c>
      <c r="E6" s="13">
        <v>58</v>
      </c>
      <c r="F6" s="14">
        <f>AVERAGE(C6:E6)/100</f>
        <v>0.57666666666666666</v>
      </c>
    </row>
    <row r="7" spans="1:6" x14ac:dyDescent="0.3">
      <c r="A7" s="13">
        <v>6</v>
      </c>
      <c r="B7" s="13" t="s">
        <v>56</v>
      </c>
      <c r="C7" s="13">
        <v>78</v>
      </c>
      <c r="D7" s="13">
        <v>82</v>
      </c>
      <c r="E7" s="13">
        <v>74</v>
      </c>
      <c r="F7" s="14">
        <f t="shared" ref="F7:F21" si="0">AVERAGE(C7:E7)/100</f>
        <v>0.78</v>
      </c>
    </row>
    <row r="8" spans="1:6" x14ac:dyDescent="0.3">
      <c r="A8" s="13">
        <v>7</v>
      </c>
      <c r="B8" s="13" t="s">
        <v>57</v>
      </c>
      <c r="C8" s="13">
        <v>65</v>
      </c>
      <c r="D8" s="13">
        <v>70</v>
      </c>
      <c r="E8" s="13">
        <v>68</v>
      </c>
      <c r="F8" s="14">
        <f t="shared" si="0"/>
        <v>0.67666666666666675</v>
      </c>
    </row>
    <row r="9" spans="1:6" x14ac:dyDescent="0.3">
      <c r="A9" s="13">
        <v>8</v>
      </c>
      <c r="B9" s="13" t="s">
        <v>58</v>
      </c>
      <c r="C9" s="13">
        <v>90</v>
      </c>
      <c r="D9" s="13">
        <v>88</v>
      </c>
      <c r="E9" s="13">
        <v>92</v>
      </c>
      <c r="F9" s="14">
        <f t="shared" si="0"/>
        <v>0.9</v>
      </c>
    </row>
    <row r="10" spans="1:6" x14ac:dyDescent="0.3">
      <c r="A10" s="13">
        <v>9</v>
      </c>
      <c r="B10" s="13" t="s">
        <v>59</v>
      </c>
      <c r="C10" s="13">
        <v>35</v>
      </c>
      <c r="D10" s="13">
        <v>40</v>
      </c>
      <c r="E10" s="13">
        <v>38</v>
      </c>
      <c r="F10" s="14">
        <f t="shared" si="0"/>
        <v>0.37666666666666665</v>
      </c>
    </row>
    <row r="11" spans="1:6" x14ac:dyDescent="0.3">
      <c r="A11" s="13">
        <v>10</v>
      </c>
      <c r="B11" s="13" t="s">
        <v>60</v>
      </c>
      <c r="C11" s="13">
        <v>55</v>
      </c>
      <c r="D11" s="13">
        <v>60</v>
      </c>
      <c r="E11" s="13">
        <v>58</v>
      </c>
      <c r="F11" s="14">
        <f t="shared" si="0"/>
        <v>0.57666666666666666</v>
      </c>
    </row>
    <row r="12" spans="1:6" x14ac:dyDescent="0.3">
      <c r="A12" s="13">
        <v>11</v>
      </c>
      <c r="B12" s="13" t="s">
        <v>56</v>
      </c>
      <c r="C12" s="13">
        <v>78</v>
      </c>
      <c r="D12" s="13">
        <v>82</v>
      </c>
      <c r="E12" s="13">
        <v>74</v>
      </c>
      <c r="F12" s="14">
        <f t="shared" si="0"/>
        <v>0.78</v>
      </c>
    </row>
    <row r="13" spans="1:6" x14ac:dyDescent="0.3">
      <c r="A13" s="13">
        <v>12</v>
      </c>
      <c r="B13" s="13" t="s">
        <v>57</v>
      </c>
      <c r="C13" s="13">
        <v>65</v>
      </c>
      <c r="D13" s="13">
        <v>70</v>
      </c>
      <c r="E13" s="13">
        <v>68</v>
      </c>
      <c r="F13" s="14">
        <f t="shared" si="0"/>
        <v>0.67666666666666675</v>
      </c>
    </row>
    <row r="14" spans="1:6" x14ac:dyDescent="0.3">
      <c r="A14" s="13">
        <v>13</v>
      </c>
      <c r="B14" s="13" t="s">
        <v>58</v>
      </c>
      <c r="C14" s="13">
        <v>90</v>
      </c>
      <c r="D14" s="13">
        <v>88</v>
      </c>
      <c r="E14" s="13">
        <v>92</v>
      </c>
      <c r="F14" s="14">
        <f t="shared" si="0"/>
        <v>0.9</v>
      </c>
    </row>
    <row r="15" spans="1:6" x14ac:dyDescent="0.3">
      <c r="A15" s="13">
        <v>14</v>
      </c>
      <c r="B15" s="13" t="s">
        <v>59</v>
      </c>
      <c r="C15" s="13">
        <v>35</v>
      </c>
      <c r="D15" s="13">
        <v>40</v>
      </c>
      <c r="E15" s="13">
        <v>38</v>
      </c>
      <c r="F15" s="14">
        <f t="shared" si="0"/>
        <v>0.37666666666666665</v>
      </c>
    </row>
    <row r="16" spans="1:6" x14ac:dyDescent="0.3">
      <c r="A16" s="13">
        <v>15</v>
      </c>
      <c r="B16" s="13" t="s">
        <v>60</v>
      </c>
      <c r="C16" s="13">
        <v>55</v>
      </c>
      <c r="D16" s="13">
        <v>60</v>
      </c>
      <c r="E16" s="13">
        <v>58</v>
      </c>
      <c r="F16" s="14">
        <f t="shared" si="0"/>
        <v>0.57666666666666666</v>
      </c>
    </row>
    <row r="17" spans="1:6" x14ac:dyDescent="0.3">
      <c r="A17" s="13">
        <v>16</v>
      </c>
      <c r="B17" s="13" t="s">
        <v>56</v>
      </c>
      <c r="C17" s="13">
        <v>78</v>
      </c>
      <c r="D17" s="13">
        <v>82</v>
      </c>
      <c r="E17" s="13">
        <v>74</v>
      </c>
      <c r="F17" s="14">
        <f t="shared" si="0"/>
        <v>0.78</v>
      </c>
    </row>
    <row r="18" spans="1:6" x14ac:dyDescent="0.3">
      <c r="A18" s="13">
        <v>17</v>
      </c>
      <c r="B18" s="13" t="s">
        <v>57</v>
      </c>
      <c r="C18" s="13">
        <v>65</v>
      </c>
      <c r="D18" s="13">
        <v>70</v>
      </c>
      <c r="E18" s="13">
        <v>68</v>
      </c>
      <c r="F18" s="14">
        <f t="shared" si="0"/>
        <v>0.67666666666666675</v>
      </c>
    </row>
    <row r="19" spans="1:6" x14ac:dyDescent="0.3">
      <c r="A19" s="13">
        <v>18</v>
      </c>
      <c r="B19" s="13" t="s">
        <v>58</v>
      </c>
      <c r="C19" s="13">
        <v>90</v>
      </c>
      <c r="D19" s="13">
        <v>88</v>
      </c>
      <c r="E19" s="13">
        <v>92</v>
      </c>
      <c r="F19" s="14">
        <f t="shared" si="0"/>
        <v>0.9</v>
      </c>
    </row>
    <row r="20" spans="1:6" x14ac:dyDescent="0.3">
      <c r="A20" s="13">
        <v>19</v>
      </c>
      <c r="B20" s="13" t="s">
        <v>59</v>
      </c>
      <c r="C20" s="13">
        <v>35</v>
      </c>
      <c r="D20" s="13">
        <v>40</v>
      </c>
      <c r="E20" s="13">
        <v>38</v>
      </c>
      <c r="F20" s="14">
        <f t="shared" si="0"/>
        <v>0.37666666666666665</v>
      </c>
    </row>
    <row r="21" spans="1:6" x14ac:dyDescent="0.3">
      <c r="A21" s="13">
        <v>20</v>
      </c>
      <c r="B21" s="13" t="s">
        <v>60</v>
      </c>
      <c r="C21" s="13">
        <v>55</v>
      </c>
      <c r="D21" s="13">
        <v>60</v>
      </c>
      <c r="E21" s="13">
        <v>58</v>
      </c>
      <c r="F21" s="14">
        <f t="shared" si="0"/>
        <v>0.57666666666666666</v>
      </c>
    </row>
    <row r="22" spans="1:6" ht="19.8" thickBot="1" x14ac:dyDescent="0.35">
      <c r="C22" s="12"/>
    </row>
    <row r="23" spans="1:6" ht="19.8" thickBot="1" x14ac:dyDescent="0.35">
      <c r="C2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B70A-86B2-457F-A584-165C47748FEA}">
  <dimension ref="A1:C26"/>
  <sheetViews>
    <sheetView zoomScale="78" workbookViewId="0">
      <selection activeCell="H6" sqref="H6"/>
    </sheetView>
  </sheetViews>
  <sheetFormatPr defaultRowHeight="14.4" x14ac:dyDescent="0.3"/>
  <cols>
    <col min="1" max="2" width="19.6640625" customWidth="1"/>
    <col min="3" max="3" width="17.88671875" customWidth="1"/>
  </cols>
  <sheetData>
    <row r="1" spans="1:3" ht="49.2" x14ac:dyDescent="0.3">
      <c r="A1" s="21" t="s">
        <v>61</v>
      </c>
      <c r="B1" s="21" t="s">
        <v>62</v>
      </c>
      <c r="C1" s="21" t="s">
        <v>32</v>
      </c>
    </row>
    <row r="2" spans="1:3" ht="19.2" x14ac:dyDescent="0.3">
      <c r="A2" s="22" t="s">
        <v>63</v>
      </c>
      <c r="B2" s="23">
        <v>45292</v>
      </c>
      <c r="C2" s="24">
        <v>12000</v>
      </c>
    </row>
    <row r="3" spans="1:3" ht="19.2" x14ac:dyDescent="0.3">
      <c r="A3" s="24" t="s">
        <v>64</v>
      </c>
      <c r="B3" s="23">
        <v>45294</v>
      </c>
      <c r="C3" s="24">
        <v>25000</v>
      </c>
    </row>
    <row r="4" spans="1:3" ht="19.2" x14ac:dyDescent="0.3">
      <c r="A4" s="24" t="s">
        <v>65</v>
      </c>
      <c r="B4" s="23">
        <v>45296</v>
      </c>
      <c r="C4" s="24">
        <v>8000</v>
      </c>
    </row>
    <row r="5" spans="1:3" ht="19.2" x14ac:dyDescent="0.3">
      <c r="A5" s="24" t="s">
        <v>66</v>
      </c>
      <c r="B5" s="23">
        <v>45299</v>
      </c>
      <c r="C5" s="24">
        <v>32000</v>
      </c>
    </row>
    <row r="6" spans="1:3" ht="19.2" x14ac:dyDescent="0.3">
      <c r="A6" s="24" t="s">
        <v>67</v>
      </c>
      <c r="B6" s="23">
        <v>45301</v>
      </c>
      <c r="C6" s="24">
        <v>15000</v>
      </c>
    </row>
    <row r="7" spans="1:3" ht="19.2" x14ac:dyDescent="0.3">
      <c r="A7" s="24" t="s">
        <v>68</v>
      </c>
      <c r="B7" s="23">
        <v>45292</v>
      </c>
      <c r="C7" s="24">
        <v>22300</v>
      </c>
    </row>
    <row r="8" spans="1:3" ht="19.2" x14ac:dyDescent="0.3">
      <c r="A8" s="24" t="s">
        <v>69</v>
      </c>
      <c r="B8" s="23">
        <v>45294</v>
      </c>
      <c r="C8" s="24">
        <v>23600</v>
      </c>
    </row>
    <row r="9" spans="1:3" ht="19.2" x14ac:dyDescent="0.3">
      <c r="A9" s="24" t="s">
        <v>70</v>
      </c>
      <c r="B9" s="23">
        <v>45296</v>
      </c>
      <c r="C9" s="24">
        <v>24900</v>
      </c>
    </row>
    <row r="10" spans="1:3" ht="19.2" x14ac:dyDescent="0.3">
      <c r="A10" s="24" t="s">
        <v>71</v>
      </c>
      <c r="B10" s="23">
        <v>45299</v>
      </c>
      <c r="C10" s="24">
        <v>26200</v>
      </c>
    </row>
    <row r="11" spans="1:3" ht="19.2" x14ac:dyDescent="0.3">
      <c r="A11" s="24" t="s">
        <v>72</v>
      </c>
      <c r="B11" s="23">
        <v>45301</v>
      </c>
      <c r="C11" s="24">
        <v>27500</v>
      </c>
    </row>
    <row r="12" spans="1:3" ht="19.2" x14ac:dyDescent="0.3">
      <c r="A12" s="24" t="s">
        <v>73</v>
      </c>
      <c r="B12" s="23">
        <v>45292</v>
      </c>
      <c r="C12" s="24">
        <v>28800</v>
      </c>
    </row>
    <row r="13" spans="1:3" ht="19.2" x14ac:dyDescent="0.3">
      <c r="A13" s="24" t="s">
        <v>74</v>
      </c>
      <c r="B13" s="23">
        <v>45294</v>
      </c>
      <c r="C13" s="24">
        <v>30100</v>
      </c>
    </row>
    <row r="14" spans="1:3" ht="19.2" x14ac:dyDescent="0.3">
      <c r="A14" s="24" t="s">
        <v>75</v>
      </c>
      <c r="B14" s="23">
        <v>45296</v>
      </c>
      <c r="C14" s="24">
        <v>31400</v>
      </c>
    </row>
    <row r="15" spans="1:3" ht="19.2" x14ac:dyDescent="0.3">
      <c r="A15" s="24" t="s">
        <v>76</v>
      </c>
      <c r="B15" s="23">
        <v>45299</v>
      </c>
      <c r="C15" s="24">
        <v>32700</v>
      </c>
    </row>
    <row r="16" spans="1:3" ht="19.2" x14ac:dyDescent="0.3">
      <c r="A16" s="24" t="s">
        <v>77</v>
      </c>
      <c r="B16" s="23">
        <v>45301</v>
      </c>
      <c r="C16" s="24">
        <v>34000</v>
      </c>
    </row>
    <row r="17" spans="1:3" ht="19.2" x14ac:dyDescent="0.3">
      <c r="A17" s="24" t="s">
        <v>78</v>
      </c>
      <c r="B17" s="23">
        <v>45292</v>
      </c>
      <c r="C17" s="24">
        <v>35300</v>
      </c>
    </row>
    <row r="18" spans="1:3" ht="19.2" x14ac:dyDescent="0.3">
      <c r="A18" s="24" t="s">
        <v>79</v>
      </c>
      <c r="B18" s="23">
        <v>45294</v>
      </c>
      <c r="C18" s="24">
        <v>36600</v>
      </c>
    </row>
    <row r="19" spans="1:3" ht="19.2" x14ac:dyDescent="0.3">
      <c r="A19" s="24" t="s">
        <v>80</v>
      </c>
      <c r="B19" s="23">
        <v>45296</v>
      </c>
      <c r="C19" s="24">
        <v>37900</v>
      </c>
    </row>
    <row r="20" spans="1:3" ht="19.2" x14ac:dyDescent="0.3">
      <c r="A20" s="24" t="s">
        <v>81</v>
      </c>
      <c r="B20" s="23">
        <v>45299</v>
      </c>
      <c r="C20" s="24">
        <v>39200</v>
      </c>
    </row>
    <row r="21" spans="1:3" ht="19.2" x14ac:dyDescent="0.3">
      <c r="A21" s="24" t="s">
        <v>82</v>
      </c>
      <c r="B21" s="23">
        <v>45301</v>
      </c>
      <c r="C21" s="24">
        <v>40500</v>
      </c>
    </row>
    <row r="22" spans="1:3" ht="34.5" customHeight="1" x14ac:dyDescent="0.3">
      <c r="A22" s="44" t="s">
        <v>110</v>
      </c>
      <c r="B22" s="45"/>
      <c r="C22" s="27">
        <f>SUM(C2:C21)</f>
        <v>563000</v>
      </c>
    </row>
    <row r="23" spans="1:3" ht="25.8" customHeight="1" x14ac:dyDescent="0.45">
      <c r="A23" s="25" t="s">
        <v>85</v>
      </c>
      <c r="B23" s="25">
        <f>AVERAGE(C2:C21)</f>
        <v>28150</v>
      </c>
      <c r="C23" s="26"/>
    </row>
    <row r="24" spans="1:3" ht="19.2" customHeight="1" x14ac:dyDescent="0.45">
      <c r="A24" s="25" t="s">
        <v>83</v>
      </c>
      <c r="B24" s="25">
        <f>MAX(C2:C21)</f>
        <v>40500</v>
      </c>
      <c r="C24" s="26"/>
    </row>
    <row r="25" spans="1:3" ht="19.2" customHeight="1" x14ac:dyDescent="0.45">
      <c r="A25" s="25" t="s">
        <v>84</v>
      </c>
      <c r="B25" s="25">
        <f>MIN(C2:C21)</f>
        <v>8000</v>
      </c>
      <c r="C25" s="26"/>
    </row>
    <row r="26" spans="1:3" x14ac:dyDescent="0.3">
      <c r="A26" s="26"/>
      <c r="B26" s="26"/>
      <c r="C26" s="26"/>
    </row>
  </sheetData>
  <mergeCells count="1">
    <mergeCell ref="A22:B2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8524-F11B-4420-8CE6-562E6EF025AE}">
  <dimension ref="A1:H23"/>
  <sheetViews>
    <sheetView workbookViewId="0">
      <selection activeCell="H5" sqref="H5"/>
    </sheetView>
  </sheetViews>
  <sheetFormatPr defaultRowHeight="14.4" x14ac:dyDescent="0.3"/>
  <cols>
    <col min="1" max="1" width="11" bestFit="1" customWidth="1"/>
    <col min="2" max="2" width="13.6640625" bestFit="1" customWidth="1"/>
    <col min="3" max="3" width="8.44140625" bestFit="1" customWidth="1"/>
    <col min="7" max="7" width="24.21875" bestFit="1" customWidth="1"/>
    <col min="8" max="8" width="7" bestFit="1" customWidth="1"/>
  </cols>
  <sheetData>
    <row r="1" spans="1:8" ht="36" x14ac:dyDescent="0.3">
      <c r="A1" s="28" t="s">
        <v>86</v>
      </c>
      <c r="B1" s="28" t="s">
        <v>87</v>
      </c>
      <c r="C1" s="28" t="s">
        <v>88</v>
      </c>
    </row>
    <row r="2" spans="1:8" ht="19.2" x14ac:dyDescent="0.3">
      <c r="A2" s="29" t="s">
        <v>89</v>
      </c>
      <c r="B2" s="29" t="s">
        <v>25</v>
      </c>
      <c r="C2" s="29">
        <v>28000</v>
      </c>
    </row>
    <row r="3" spans="1:8" ht="19.2" x14ac:dyDescent="0.3">
      <c r="A3" s="29" t="s">
        <v>90</v>
      </c>
      <c r="B3" s="29" t="s">
        <v>26</v>
      </c>
      <c r="C3" s="29">
        <v>45000</v>
      </c>
    </row>
    <row r="4" spans="1:8" ht="19.2" x14ac:dyDescent="0.3">
      <c r="A4" s="29" t="s">
        <v>91</v>
      </c>
      <c r="B4" s="29" t="s">
        <v>26</v>
      </c>
      <c r="C4" s="29">
        <v>50000</v>
      </c>
      <c r="G4" s="17" t="s">
        <v>95</v>
      </c>
      <c r="H4" s="17">
        <f>SUMIF(B2:B21,B2,C2:C21)</f>
        <v>202000</v>
      </c>
    </row>
    <row r="5" spans="1:8" ht="21.75" customHeight="1" x14ac:dyDescent="0.3">
      <c r="A5" s="29" t="s">
        <v>92</v>
      </c>
      <c r="B5" s="29" t="s">
        <v>27</v>
      </c>
      <c r="C5" s="29">
        <v>42000</v>
      </c>
      <c r="G5" s="17" t="s">
        <v>96</v>
      </c>
      <c r="H5" s="17">
        <f>SUMIF(B2:B21,B3,C2:C21)</f>
        <v>330000</v>
      </c>
    </row>
    <row r="6" spans="1:8" ht="19.2" x14ac:dyDescent="0.3">
      <c r="A6" s="29" t="s">
        <v>93</v>
      </c>
      <c r="B6" s="29" t="s">
        <v>25</v>
      </c>
      <c r="C6" s="29">
        <v>30000</v>
      </c>
      <c r="G6" s="17" t="s">
        <v>97</v>
      </c>
      <c r="H6" s="17">
        <f>SUMIF(B2:B21,B5,C2:C21)</f>
        <v>240000</v>
      </c>
    </row>
    <row r="7" spans="1:8" ht="19.2" x14ac:dyDescent="0.3">
      <c r="A7" s="29" t="s">
        <v>94</v>
      </c>
      <c r="B7" s="29" t="s">
        <v>27</v>
      </c>
      <c r="C7" s="29">
        <v>38000</v>
      </c>
    </row>
    <row r="8" spans="1:8" ht="19.2" x14ac:dyDescent="0.3">
      <c r="A8" s="29" t="s">
        <v>89</v>
      </c>
      <c r="B8" s="29" t="s">
        <v>25</v>
      </c>
      <c r="C8" s="29">
        <v>28000</v>
      </c>
      <c r="G8" s="17" t="s">
        <v>98</v>
      </c>
      <c r="H8" s="17">
        <f>AVERAGE(C2:C21)</f>
        <v>38600</v>
      </c>
    </row>
    <row r="9" spans="1:8" ht="19.2" x14ac:dyDescent="0.3">
      <c r="A9" s="29" t="s">
        <v>90</v>
      </c>
      <c r="B9" s="29" t="s">
        <v>26</v>
      </c>
      <c r="C9" s="29">
        <v>45000</v>
      </c>
      <c r="G9" s="17" t="s">
        <v>99</v>
      </c>
      <c r="H9" s="17">
        <f>COUNTA(A2:A21)</f>
        <v>20</v>
      </c>
    </row>
    <row r="10" spans="1:8" ht="19.2" x14ac:dyDescent="0.3">
      <c r="A10" s="29" t="s">
        <v>91</v>
      </c>
      <c r="B10" s="29" t="s">
        <v>26</v>
      </c>
      <c r="C10" s="29">
        <v>50000</v>
      </c>
    </row>
    <row r="11" spans="1:8" ht="19.2" x14ac:dyDescent="0.3">
      <c r="A11" s="29" t="s">
        <v>92</v>
      </c>
      <c r="B11" s="29" t="s">
        <v>27</v>
      </c>
      <c r="C11" s="29">
        <v>42000</v>
      </c>
    </row>
    <row r="12" spans="1:8" ht="19.2" x14ac:dyDescent="0.3">
      <c r="A12" s="29" t="s">
        <v>93</v>
      </c>
      <c r="B12" s="29" t="s">
        <v>25</v>
      </c>
      <c r="C12" s="29">
        <v>30000</v>
      </c>
    </row>
    <row r="13" spans="1:8" ht="19.2" x14ac:dyDescent="0.3">
      <c r="A13" s="29" t="s">
        <v>94</v>
      </c>
      <c r="B13" s="29" t="s">
        <v>27</v>
      </c>
      <c r="C13" s="29">
        <v>38000</v>
      </c>
    </row>
    <row r="14" spans="1:8" ht="19.2" x14ac:dyDescent="0.3">
      <c r="A14" s="29" t="s">
        <v>89</v>
      </c>
      <c r="B14" s="29" t="s">
        <v>25</v>
      </c>
      <c r="C14" s="29">
        <v>28000</v>
      </c>
    </row>
    <row r="15" spans="1:8" ht="19.2" x14ac:dyDescent="0.3">
      <c r="A15" s="29" t="s">
        <v>90</v>
      </c>
      <c r="B15" s="29" t="s">
        <v>26</v>
      </c>
      <c r="C15" s="29">
        <v>45000</v>
      </c>
    </row>
    <row r="16" spans="1:8" ht="19.2" x14ac:dyDescent="0.3">
      <c r="A16" s="29" t="s">
        <v>91</v>
      </c>
      <c r="B16" s="29" t="s">
        <v>26</v>
      </c>
      <c r="C16" s="29">
        <v>50000</v>
      </c>
    </row>
    <row r="17" spans="1:3" ht="19.2" x14ac:dyDescent="0.3">
      <c r="A17" s="29" t="s">
        <v>92</v>
      </c>
      <c r="B17" s="29" t="s">
        <v>27</v>
      </c>
      <c r="C17" s="29">
        <v>42000</v>
      </c>
    </row>
    <row r="18" spans="1:3" ht="19.2" x14ac:dyDescent="0.3">
      <c r="A18" s="29" t="s">
        <v>93</v>
      </c>
      <c r="B18" s="29" t="s">
        <v>25</v>
      </c>
      <c r="C18" s="29">
        <v>30000</v>
      </c>
    </row>
    <row r="19" spans="1:3" ht="19.2" x14ac:dyDescent="0.3">
      <c r="A19" s="29" t="s">
        <v>94</v>
      </c>
      <c r="B19" s="29" t="s">
        <v>27</v>
      </c>
      <c r="C19" s="29">
        <v>38000</v>
      </c>
    </row>
    <row r="20" spans="1:3" ht="19.2" x14ac:dyDescent="0.3">
      <c r="A20" s="29" t="s">
        <v>89</v>
      </c>
      <c r="B20" s="29" t="s">
        <v>25</v>
      </c>
      <c r="C20" s="29">
        <v>28000</v>
      </c>
    </row>
    <row r="21" spans="1:3" ht="19.2" x14ac:dyDescent="0.3">
      <c r="A21" s="29" t="s">
        <v>90</v>
      </c>
      <c r="B21" s="29" t="s">
        <v>26</v>
      </c>
      <c r="C21" s="29">
        <v>45000</v>
      </c>
    </row>
    <row r="22" spans="1:3" ht="19.8" thickBot="1" x14ac:dyDescent="0.35">
      <c r="C22" s="12"/>
    </row>
    <row r="23" spans="1:3" ht="19.8" thickBot="1" x14ac:dyDescent="0.35">
      <c r="C23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8CC-88E6-44EA-BD9F-EFF58C402C70}">
  <dimension ref="A1:H21"/>
  <sheetViews>
    <sheetView zoomScale="127" zoomScaleNormal="100" workbookViewId="0">
      <selection activeCell="J2" sqref="J2"/>
    </sheetView>
  </sheetViews>
  <sheetFormatPr defaultRowHeight="14.4" x14ac:dyDescent="0.3"/>
  <cols>
    <col min="1" max="1" width="16" bestFit="1" customWidth="1"/>
    <col min="2" max="6" width="7.109375" bestFit="1" customWidth="1"/>
    <col min="7" max="8" width="13.21875" bestFit="1" customWidth="1"/>
  </cols>
  <sheetData>
    <row r="1" spans="1:8" ht="38.4" x14ac:dyDescent="0.3">
      <c r="A1" s="30" t="s">
        <v>51</v>
      </c>
      <c r="B1" s="30" t="s">
        <v>100</v>
      </c>
      <c r="C1" s="30" t="s">
        <v>101</v>
      </c>
      <c r="D1" s="30" t="s">
        <v>102</v>
      </c>
      <c r="E1" s="30" t="s">
        <v>103</v>
      </c>
      <c r="F1" s="30" t="s">
        <v>104</v>
      </c>
      <c r="G1" s="30" t="s">
        <v>111</v>
      </c>
      <c r="H1" s="30" t="s">
        <v>112</v>
      </c>
    </row>
    <row r="2" spans="1:8" ht="22.5" customHeight="1" x14ac:dyDescent="0.3">
      <c r="A2" s="32" t="s">
        <v>56</v>
      </c>
      <c r="B2" s="32" t="s">
        <v>105</v>
      </c>
      <c r="C2" s="32" t="s">
        <v>106</v>
      </c>
      <c r="D2" s="32" t="s">
        <v>105</v>
      </c>
      <c r="E2" s="32" t="s">
        <v>105</v>
      </c>
      <c r="F2" s="32" t="s">
        <v>105</v>
      </c>
      <c r="G2" s="31">
        <f>COUNTIF(B2:F2,B2)</f>
        <v>4</v>
      </c>
      <c r="H2" s="32">
        <f>COUNTIF(B2:F2,C2)</f>
        <v>1</v>
      </c>
    </row>
    <row r="3" spans="1:8" x14ac:dyDescent="0.3">
      <c r="A3" s="32" t="s">
        <v>57</v>
      </c>
      <c r="B3" s="32" t="s">
        <v>105</v>
      </c>
      <c r="C3" s="32" t="s">
        <v>105</v>
      </c>
      <c r="D3" s="32" t="s">
        <v>105</v>
      </c>
      <c r="E3" s="32" t="s">
        <v>106</v>
      </c>
      <c r="F3" s="32" t="s">
        <v>105</v>
      </c>
      <c r="G3" s="31">
        <f t="shared" ref="G3:G21" si="0">COUNTIF(B3:F3,B3)</f>
        <v>4</v>
      </c>
      <c r="H3" s="31">
        <f>COUNTIF(B3:F3,E3)</f>
        <v>1</v>
      </c>
    </row>
    <row r="4" spans="1:8" x14ac:dyDescent="0.3">
      <c r="A4" s="32" t="s">
        <v>58</v>
      </c>
      <c r="B4" s="32" t="s">
        <v>106</v>
      </c>
      <c r="C4" s="32" t="s">
        <v>105</v>
      </c>
      <c r="D4" s="32" t="s">
        <v>105</v>
      </c>
      <c r="E4" s="32" t="s">
        <v>105</v>
      </c>
      <c r="F4" s="32" t="s">
        <v>105</v>
      </c>
      <c r="G4" s="31">
        <f>COUNTIF(B4:F4,C4)</f>
        <v>4</v>
      </c>
      <c r="H4" s="31">
        <f>COUNTIF(B4:F4,B4)</f>
        <v>1</v>
      </c>
    </row>
    <row r="5" spans="1:8" x14ac:dyDescent="0.3">
      <c r="A5" s="32" t="s">
        <v>59</v>
      </c>
      <c r="B5" s="32" t="s">
        <v>105</v>
      </c>
      <c r="C5" s="32" t="s">
        <v>106</v>
      </c>
      <c r="D5" s="32" t="s">
        <v>106</v>
      </c>
      <c r="E5" s="32" t="s">
        <v>105</v>
      </c>
      <c r="F5" s="32" t="s">
        <v>106</v>
      </c>
      <c r="G5" s="31">
        <f t="shared" si="0"/>
        <v>2</v>
      </c>
      <c r="H5" s="31">
        <f>COUNTIF(B5:F5,C5)</f>
        <v>3</v>
      </c>
    </row>
    <row r="6" spans="1:8" x14ac:dyDescent="0.3">
      <c r="A6" s="32" t="s">
        <v>56</v>
      </c>
      <c r="B6" s="32" t="s">
        <v>105</v>
      </c>
      <c r="C6" s="32" t="s">
        <v>106</v>
      </c>
      <c r="D6" s="32" t="s">
        <v>105</v>
      </c>
      <c r="E6" s="32" t="s">
        <v>105</v>
      </c>
      <c r="F6" s="32" t="s">
        <v>105</v>
      </c>
      <c r="G6" s="31">
        <f t="shared" si="0"/>
        <v>4</v>
      </c>
      <c r="H6" s="31">
        <f>COUNTIF(B6:G6,C6)</f>
        <v>1</v>
      </c>
    </row>
    <row r="7" spans="1:8" x14ac:dyDescent="0.3">
      <c r="A7" s="32" t="s">
        <v>57</v>
      </c>
      <c r="B7" s="32" t="s">
        <v>105</v>
      </c>
      <c r="C7" s="32" t="s">
        <v>105</v>
      </c>
      <c r="D7" s="32" t="s">
        <v>105</v>
      </c>
      <c r="E7" s="32" t="s">
        <v>106</v>
      </c>
      <c r="F7" s="32" t="s">
        <v>105</v>
      </c>
      <c r="G7" s="31">
        <f t="shared" si="0"/>
        <v>4</v>
      </c>
      <c r="H7" s="31">
        <f>COUNTIF(B7:F7,E7)</f>
        <v>1</v>
      </c>
    </row>
    <row r="8" spans="1:8" x14ac:dyDescent="0.3">
      <c r="A8" s="32" t="s">
        <v>58</v>
      </c>
      <c r="B8" s="32" t="s">
        <v>106</v>
      </c>
      <c r="C8" s="32" t="s">
        <v>105</v>
      </c>
      <c r="D8" s="32" t="s">
        <v>105</v>
      </c>
      <c r="E8" s="32" t="s">
        <v>105</v>
      </c>
      <c r="F8" s="32" t="s">
        <v>105</v>
      </c>
      <c r="G8" s="31">
        <f>COUNTIF(B8:F8,C8)</f>
        <v>4</v>
      </c>
      <c r="H8" s="31">
        <f>COUNTIF(B8:F8,B8)</f>
        <v>1</v>
      </c>
    </row>
    <row r="9" spans="1:8" x14ac:dyDescent="0.3">
      <c r="A9" s="32" t="s">
        <v>59</v>
      </c>
      <c r="B9" s="32" t="s">
        <v>105</v>
      </c>
      <c r="C9" s="32" t="s">
        <v>106</v>
      </c>
      <c r="D9" s="32" t="s">
        <v>106</v>
      </c>
      <c r="E9" s="32" t="s">
        <v>105</v>
      </c>
      <c r="F9" s="32" t="s">
        <v>106</v>
      </c>
      <c r="G9" s="31">
        <f t="shared" si="0"/>
        <v>2</v>
      </c>
      <c r="H9" s="31">
        <f>COUNTIF(B9:F9,C9)</f>
        <v>3</v>
      </c>
    </row>
    <row r="10" spans="1:8" x14ac:dyDescent="0.3">
      <c r="A10" s="32" t="s">
        <v>56</v>
      </c>
      <c r="B10" s="32" t="s">
        <v>105</v>
      </c>
      <c r="C10" s="32" t="s">
        <v>106</v>
      </c>
      <c r="D10" s="32" t="s">
        <v>105</v>
      </c>
      <c r="E10" s="32" t="s">
        <v>105</v>
      </c>
      <c r="F10" s="32" t="s">
        <v>105</v>
      </c>
      <c r="G10" s="31">
        <f t="shared" si="0"/>
        <v>4</v>
      </c>
      <c r="H10" s="31">
        <f>COUNTIF(B10:F10,C10)</f>
        <v>1</v>
      </c>
    </row>
    <row r="11" spans="1:8" x14ac:dyDescent="0.3">
      <c r="A11" s="32" t="s">
        <v>57</v>
      </c>
      <c r="B11" s="32" t="s">
        <v>105</v>
      </c>
      <c r="C11" s="32" t="s">
        <v>105</v>
      </c>
      <c r="D11" s="32" t="s">
        <v>105</v>
      </c>
      <c r="E11" s="32" t="s">
        <v>106</v>
      </c>
      <c r="F11" s="32" t="s">
        <v>105</v>
      </c>
      <c r="G11" s="31">
        <f t="shared" si="0"/>
        <v>4</v>
      </c>
      <c r="H11" s="31">
        <f>COUNTIF(B11:F11,E11)</f>
        <v>1</v>
      </c>
    </row>
    <row r="12" spans="1:8" x14ac:dyDescent="0.3">
      <c r="A12" s="32" t="s">
        <v>58</v>
      </c>
      <c r="B12" s="32" t="s">
        <v>106</v>
      </c>
      <c r="C12" s="32" t="s">
        <v>105</v>
      </c>
      <c r="D12" s="32" t="s">
        <v>105</v>
      </c>
      <c r="E12" s="32" t="s">
        <v>105</v>
      </c>
      <c r="F12" s="32" t="s">
        <v>105</v>
      </c>
      <c r="G12" s="31">
        <f>COUNTIF(B12:F12,C12)</f>
        <v>4</v>
      </c>
      <c r="H12" s="31">
        <f>COUNTIF(B12:F12,B12)</f>
        <v>1</v>
      </c>
    </row>
    <row r="13" spans="1:8" x14ac:dyDescent="0.3">
      <c r="A13" s="32" t="s">
        <v>59</v>
      </c>
      <c r="B13" s="32" t="s">
        <v>105</v>
      </c>
      <c r="C13" s="32" t="s">
        <v>106</v>
      </c>
      <c r="D13" s="32" t="s">
        <v>105</v>
      </c>
      <c r="E13" s="32" t="s">
        <v>105</v>
      </c>
      <c r="F13" s="32" t="s">
        <v>106</v>
      </c>
      <c r="G13" s="31">
        <f t="shared" si="0"/>
        <v>3</v>
      </c>
      <c r="H13" s="31">
        <f>COUNTIF(B13:F13,C13)</f>
        <v>2</v>
      </c>
    </row>
    <row r="14" spans="1:8" x14ac:dyDescent="0.3">
      <c r="A14" s="32" t="s">
        <v>56</v>
      </c>
      <c r="B14" s="32" t="s">
        <v>105</v>
      </c>
      <c r="C14" s="32" t="s">
        <v>106</v>
      </c>
      <c r="D14" s="32" t="s">
        <v>105</v>
      </c>
      <c r="E14" s="32" t="s">
        <v>105</v>
      </c>
      <c r="F14" s="32" t="s">
        <v>105</v>
      </c>
      <c r="G14" s="31">
        <f t="shared" si="0"/>
        <v>4</v>
      </c>
      <c r="H14" s="31">
        <f>COUNTIF(B14:F14,C14)</f>
        <v>1</v>
      </c>
    </row>
    <row r="15" spans="1:8" x14ac:dyDescent="0.3">
      <c r="A15" s="32" t="s">
        <v>57</v>
      </c>
      <c r="B15" s="32" t="s">
        <v>105</v>
      </c>
      <c r="C15" s="32" t="s">
        <v>105</v>
      </c>
      <c r="D15" s="32" t="s">
        <v>106</v>
      </c>
      <c r="E15" s="32" t="s">
        <v>106</v>
      </c>
      <c r="F15" s="32" t="s">
        <v>105</v>
      </c>
      <c r="G15" s="31">
        <f t="shared" si="0"/>
        <v>3</v>
      </c>
      <c r="H15" s="31">
        <f>COUNTIF(B15:F15,D15)</f>
        <v>2</v>
      </c>
    </row>
    <row r="16" spans="1:8" x14ac:dyDescent="0.3">
      <c r="A16" s="32" t="s">
        <v>58</v>
      </c>
      <c r="B16" s="32" t="s">
        <v>106</v>
      </c>
      <c r="C16" s="32" t="s">
        <v>105</v>
      </c>
      <c r="D16" s="32" t="s">
        <v>105</v>
      </c>
      <c r="E16" s="32" t="s">
        <v>105</v>
      </c>
      <c r="F16" s="32" t="s">
        <v>105</v>
      </c>
      <c r="G16" s="31">
        <f>COUNTIF(B16:F16,C16)</f>
        <v>4</v>
      </c>
      <c r="H16" s="31">
        <f>COUNTIF(B16:F16,B16)</f>
        <v>1</v>
      </c>
    </row>
    <row r="17" spans="1:8" x14ac:dyDescent="0.3">
      <c r="A17" s="32" t="s">
        <v>59</v>
      </c>
      <c r="B17" s="32" t="s">
        <v>105</v>
      </c>
      <c r="C17" s="32" t="s">
        <v>106</v>
      </c>
      <c r="D17" s="32" t="s">
        <v>105</v>
      </c>
      <c r="E17" s="32" t="s">
        <v>105</v>
      </c>
      <c r="F17" s="32" t="s">
        <v>106</v>
      </c>
      <c r="G17" s="31">
        <f t="shared" si="0"/>
        <v>3</v>
      </c>
      <c r="H17" s="31">
        <f>COUNTIF(B17:F17,C17)</f>
        <v>2</v>
      </c>
    </row>
    <row r="18" spans="1:8" x14ac:dyDescent="0.3">
      <c r="A18" s="32" t="s">
        <v>56</v>
      </c>
      <c r="B18" s="32" t="s">
        <v>105</v>
      </c>
      <c r="C18" s="32" t="s">
        <v>106</v>
      </c>
      <c r="D18" s="32" t="s">
        <v>105</v>
      </c>
      <c r="E18" s="32" t="s">
        <v>105</v>
      </c>
      <c r="F18" s="32" t="s">
        <v>105</v>
      </c>
      <c r="G18" s="31">
        <f t="shared" si="0"/>
        <v>4</v>
      </c>
      <c r="H18" s="31">
        <f>COUNTIF(B18:F18,C18)</f>
        <v>1</v>
      </c>
    </row>
    <row r="19" spans="1:8" x14ac:dyDescent="0.3">
      <c r="A19" s="32" t="s">
        <v>57</v>
      </c>
      <c r="B19" s="32" t="s">
        <v>105</v>
      </c>
      <c r="C19" s="32" t="s">
        <v>105</v>
      </c>
      <c r="D19" s="32" t="s">
        <v>106</v>
      </c>
      <c r="E19" s="32" t="s">
        <v>106</v>
      </c>
      <c r="F19" s="32" t="s">
        <v>105</v>
      </c>
      <c r="G19" s="31">
        <f t="shared" si="0"/>
        <v>3</v>
      </c>
      <c r="H19" s="31">
        <f>COUNTIF(B19:F19,D19)</f>
        <v>2</v>
      </c>
    </row>
    <row r="20" spans="1:8" x14ac:dyDescent="0.3">
      <c r="A20" s="32" t="s">
        <v>58</v>
      </c>
      <c r="B20" s="32" t="s">
        <v>106</v>
      </c>
      <c r="C20" s="32" t="s">
        <v>105</v>
      </c>
      <c r="D20" s="32" t="s">
        <v>105</v>
      </c>
      <c r="E20" s="32" t="s">
        <v>105</v>
      </c>
      <c r="F20" s="32" t="s">
        <v>105</v>
      </c>
      <c r="G20" s="31">
        <f>COUNTIF(B20:F20,C20)</f>
        <v>4</v>
      </c>
      <c r="H20" s="31">
        <f>COUNTIF(B20:F20,B20)</f>
        <v>1</v>
      </c>
    </row>
    <row r="21" spans="1:8" x14ac:dyDescent="0.3">
      <c r="A21" s="32" t="s">
        <v>59</v>
      </c>
      <c r="B21" s="32" t="s">
        <v>105</v>
      </c>
      <c r="C21" s="32" t="s">
        <v>106</v>
      </c>
      <c r="D21" s="32" t="s">
        <v>105</v>
      </c>
      <c r="E21" s="32" t="s">
        <v>105</v>
      </c>
      <c r="F21" s="32" t="s">
        <v>106</v>
      </c>
      <c r="G21" s="31">
        <f t="shared" si="0"/>
        <v>3</v>
      </c>
      <c r="H21" s="31">
        <f>COUNTIF(B21:G21,C21)</f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4DEE-B399-4C82-A769-2C0EF237C923}">
  <dimension ref="A1:E21"/>
  <sheetViews>
    <sheetView zoomScale="134" workbookViewId="0">
      <selection activeCell="E10" sqref="E10"/>
    </sheetView>
  </sheetViews>
  <sheetFormatPr defaultRowHeight="14.4" x14ac:dyDescent="0.3"/>
  <cols>
    <col min="1" max="1" width="12" customWidth="1"/>
    <col min="2" max="2" width="15.109375" customWidth="1"/>
    <col min="4" max="4" width="24.77734375" customWidth="1"/>
  </cols>
  <sheetData>
    <row r="1" spans="1:5" x14ac:dyDescent="0.3">
      <c r="A1" s="37" t="s">
        <v>113</v>
      </c>
      <c r="B1" s="37" t="s">
        <v>32</v>
      </c>
    </row>
    <row r="2" spans="1:5" x14ac:dyDescent="0.3">
      <c r="A2" s="38" t="s">
        <v>114</v>
      </c>
      <c r="B2" s="38">
        <v>4500</v>
      </c>
    </row>
    <row r="3" spans="1:5" x14ac:dyDescent="0.3">
      <c r="A3" s="38" t="s">
        <v>115</v>
      </c>
      <c r="B3" s="38">
        <v>12000</v>
      </c>
    </row>
    <row r="4" spans="1:5" x14ac:dyDescent="0.3">
      <c r="A4" s="38" t="s">
        <v>116</v>
      </c>
      <c r="B4" s="38">
        <v>8000</v>
      </c>
    </row>
    <row r="5" spans="1:5" x14ac:dyDescent="0.3">
      <c r="A5" s="38" t="s">
        <v>117</v>
      </c>
      <c r="B5" s="38">
        <v>25000</v>
      </c>
    </row>
    <row r="6" spans="1:5" x14ac:dyDescent="0.3">
      <c r="A6" s="38" t="s">
        <v>118</v>
      </c>
      <c r="B6" s="38">
        <v>3000</v>
      </c>
    </row>
    <row r="7" spans="1:5" x14ac:dyDescent="0.3">
      <c r="A7" s="38" t="s">
        <v>119</v>
      </c>
      <c r="B7" s="38">
        <v>15000</v>
      </c>
    </row>
    <row r="8" spans="1:5" ht="15" customHeight="1" x14ac:dyDescent="0.3">
      <c r="A8" s="38" t="s">
        <v>120</v>
      </c>
      <c r="B8" s="39">
        <f ca="1">RANDBETWEEN(3000,25000)</f>
        <v>13748</v>
      </c>
      <c r="D8" s="35" t="s">
        <v>134</v>
      </c>
      <c r="E8" s="36">
        <f ca="1">COUNTIF(B2:B21,"&gt;10000")</f>
        <v>11</v>
      </c>
    </row>
    <row r="9" spans="1:5" ht="15" x14ac:dyDescent="0.3">
      <c r="A9" s="38" t="s">
        <v>121</v>
      </c>
      <c r="B9" s="39">
        <f t="shared" ref="B9:B21" ca="1" si="0">RANDBETWEEN(3000,25000)</f>
        <v>19577</v>
      </c>
      <c r="D9" s="35" t="s">
        <v>135</v>
      </c>
      <c r="E9" s="36">
        <f ca="1">COUNTIF(B2:B21,"&lt;5000")</f>
        <v>5</v>
      </c>
    </row>
    <row r="10" spans="1:5" x14ac:dyDescent="0.3">
      <c r="A10" s="38" t="s">
        <v>122</v>
      </c>
      <c r="B10" s="39">
        <f t="shared" ca="1" si="0"/>
        <v>3148</v>
      </c>
    </row>
    <row r="11" spans="1:5" x14ac:dyDescent="0.3">
      <c r="A11" s="38" t="s">
        <v>123</v>
      </c>
      <c r="B11" s="39">
        <f t="shared" ca="1" si="0"/>
        <v>24515</v>
      </c>
    </row>
    <row r="12" spans="1:5" x14ac:dyDescent="0.3">
      <c r="A12" s="38" t="s">
        <v>124</v>
      </c>
      <c r="B12" s="39">
        <f t="shared" ca="1" si="0"/>
        <v>4646</v>
      </c>
    </row>
    <row r="13" spans="1:5" x14ac:dyDescent="0.3">
      <c r="A13" s="38" t="s">
        <v>125</v>
      </c>
      <c r="B13" s="39">
        <f t="shared" ca="1" si="0"/>
        <v>15826</v>
      </c>
    </row>
    <row r="14" spans="1:5" x14ac:dyDescent="0.3">
      <c r="A14" s="38" t="s">
        <v>126</v>
      </c>
      <c r="B14" s="39">
        <f t="shared" ca="1" si="0"/>
        <v>11491</v>
      </c>
    </row>
    <row r="15" spans="1:5" x14ac:dyDescent="0.3">
      <c r="A15" s="38" t="s">
        <v>127</v>
      </c>
      <c r="B15" s="39">
        <f t="shared" ca="1" si="0"/>
        <v>4583</v>
      </c>
    </row>
    <row r="16" spans="1:5" x14ac:dyDescent="0.3">
      <c r="A16" s="38" t="s">
        <v>128</v>
      </c>
      <c r="B16" s="39">
        <f t="shared" ca="1" si="0"/>
        <v>7253</v>
      </c>
    </row>
    <row r="17" spans="1:2" x14ac:dyDescent="0.3">
      <c r="A17" s="38" t="s">
        <v>129</v>
      </c>
      <c r="B17" s="39">
        <f t="shared" ca="1" si="0"/>
        <v>21091</v>
      </c>
    </row>
    <row r="18" spans="1:2" x14ac:dyDescent="0.3">
      <c r="A18" s="38" t="s">
        <v>130</v>
      </c>
      <c r="B18" s="39">
        <f t="shared" ca="1" si="0"/>
        <v>20630</v>
      </c>
    </row>
    <row r="19" spans="1:2" x14ac:dyDescent="0.3">
      <c r="A19" s="38" t="s">
        <v>131</v>
      </c>
      <c r="B19" s="39">
        <f t="shared" ca="1" si="0"/>
        <v>9602</v>
      </c>
    </row>
    <row r="20" spans="1:2" x14ac:dyDescent="0.3">
      <c r="A20" s="38" t="s">
        <v>132</v>
      </c>
      <c r="B20" s="39">
        <f t="shared" ca="1" si="0"/>
        <v>22248</v>
      </c>
    </row>
    <row r="21" spans="1:2" x14ac:dyDescent="0.3">
      <c r="A21" s="38" t="s">
        <v>133</v>
      </c>
      <c r="B21" s="39">
        <f t="shared" ca="1" si="0"/>
        <v>8710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48CB-9C7D-4FA3-8F0C-5CF76E02F21D}">
  <dimension ref="A1:B21"/>
  <sheetViews>
    <sheetView zoomScale="134" zoomScaleNormal="149" workbookViewId="0">
      <selection sqref="A1:B1"/>
    </sheetView>
  </sheetViews>
  <sheetFormatPr defaultRowHeight="14.4" x14ac:dyDescent="0.3"/>
  <cols>
    <col min="1" max="1" width="15.6640625" customWidth="1"/>
    <col min="2" max="2" width="16.44140625" customWidth="1"/>
  </cols>
  <sheetData>
    <row r="1" spans="1:2" ht="26.4" customHeight="1" x14ac:dyDescent="0.3">
      <c r="A1" s="40" t="s">
        <v>136</v>
      </c>
      <c r="B1" s="40" t="s">
        <v>32</v>
      </c>
    </row>
    <row r="2" spans="1:2" ht="15" x14ac:dyDescent="0.3">
      <c r="A2" s="3" t="s">
        <v>137</v>
      </c>
      <c r="B2" s="3">
        <v>22000</v>
      </c>
    </row>
    <row r="3" spans="1:2" ht="15" x14ac:dyDescent="0.3">
      <c r="A3" s="33" t="s">
        <v>138</v>
      </c>
      <c r="B3" s="33">
        <v>3500</v>
      </c>
    </row>
    <row r="4" spans="1:2" ht="15" x14ac:dyDescent="0.3">
      <c r="A4" s="3" t="s">
        <v>139</v>
      </c>
      <c r="B4" s="3">
        <v>58000</v>
      </c>
    </row>
    <row r="5" spans="1:2" ht="15" x14ac:dyDescent="0.3">
      <c r="A5" s="33" t="s">
        <v>140</v>
      </c>
      <c r="B5" s="33">
        <v>1800</v>
      </c>
    </row>
    <row r="6" spans="1:2" ht="15" x14ac:dyDescent="0.3">
      <c r="A6" s="3" t="s">
        <v>141</v>
      </c>
      <c r="B6" s="3">
        <v>12000</v>
      </c>
    </row>
    <row r="7" spans="1:2" ht="15" x14ac:dyDescent="0.3">
      <c r="A7" s="3" t="s">
        <v>137</v>
      </c>
      <c r="B7" s="34">
        <f ca="1">RANDBETWEEN(1800,58000)</f>
        <v>22710</v>
      </c>
    </row>
    <row r="8" spans="1:2" ht="15" x14ac:dyDescent="0.3">
      <c r="A8" s="33" t="s">
        <v>138</v>
      </c>
      <c r="B8" s="34">
        <f t="shared" ref="B8:B21" ca="1" si="0">RANDBETWEEN(1800,58000)</f>
        <v>5043</v>
      </c>
    </row>
    <row r="9" spans="1:2" ht="15" x14ac:dyDescent="0.3">
      <c r="A9" s="3" t="s">
        <v>139</v>
      </c>
      <c r="B9" s="34">
        <f t="shared" ca="1" si="0"/>
        <v>12177</v>
      </c>
    </row>
    <row r="10" spans="1:2" ht="15" x14ac:dyDescent="0.3">
      <c r="A10" s="33" t="s">
        <v>140</v>
      </c>
      <c r="B10" s="34">
        <f t="shared" ca="1" si="0"/>
        <v>50200</v>
      </c>
    </row>
    <row r="11" spans="1:2" ht="15" x14ac:dyDescent="0.3">
      <c r="A11" s="3" t="s">
        <v>141</v>
      </c>
      <c r="B11" s="34">
        <f t="shared" ca="1" si="0"/>
        <v>39754</v>
      </c>
    </row>
    <row r="12" spans="1:2" ht="15" x14ac:dyDescent="0.3">
      <c r="A12" s="3" t="s">
        <v>137</v>
      </c>
      <c r="B12" s="34">
        <f t="shared" ca="1" si="0"/>
        <v>44330</v>
      </c>
    </row>
    <row r="13" spans="1:2" ht="15" x14ac:dyDescent="0.3">
      <c r="A13" s="33" t="s">
        <v>138</v>
      </c>
      <c r="B13" s="34">
        <f t="shared" ca="1" si="0"/>
        <v>31788</v>
      </c>
    </row>
    <row r="14" spans="1:2" ht="15" x14ac:dyDescent="0.3">
      <c r="A14" s="3" t="s">
        <v>139</v>
      </c>
      <c r="B14" s="34">
        <f t="shared" ca="1" si="0"/>
        <v>44811</v>
      </c>
    </row>
    <row r="15" spans="1:2" ht="15" x14ac:dyDescent="0.3">
      <c r="A15" s="33" t="s">
        <v>140</v>
      </c>
      <c r="B15" s="34">
        <f t="shared" ca="1" si="0"/>
        <v>12401</v>
      </c>
    </row>
    <row r="16" spans="1:2" ht="15" x14ac:dyDescent="0.3">
      <c r="A16" s="3" t="s">
        <v>141</v>
      </c>
      <c r="B16" s="34">
        <f t="shared" ca="1" si="0"/>
        <v>26521</v>
      </c>
    </row>
    <row r="17" spans="1:2" ht="15" x14ac:dyDescent="0.3">
      <c r="A17" s="3" t="s">
        <v>137</v>
      </c>
      <c r="B17" s="34">
        <f t="shared" ca="1" si="0"/>
        <v>40501</v>
      </c>
    </row>
    <row r="18" spans="1:2" ht="15" x14ac:dyDescent="0.3">
      <c r="A18" s="33" t="s">
        <v>138</v>
      </c>
      <c r="B18" s="34">
        <f t="shared" ca="1" si="0"/>
        <v>40980</v>
      </c>
    </row>
    <row r="19" spans="1:2" ht="15" x14ac:dyDescent="0.3">
      <c r="A19" s="3" t="s">
        <v>139</v>
      </c>
      <c r="B19" s="34">
        <f t="shared" ca="1" si="0"/>
        <v>28121</v>
      </c>
    </row>
    <row r="20" spans="1:2" ht="15" x14ac:dyDescent="0.3">
      <c r="A20" s="33" t="s">
        <v>140</v>
      </c>
      <c r="B20" s="34">
        <f t="shared" ca="1" si="0"/>
        <v>19603</v>
      </c>
    </row>
    <row r="21" spans="1:2" ht="15" x14ac:dyDescent="0.3">
      <c r="A21" s="3" t="s">
        <v>141</v>
      </c>
      <c r="B21" s="34">
        <f t="shared" ca="1" si="0"/>
        <v>29726</v>
      </c>
    </row>
  </sheetData>
  <conditionalFormatting sqref="B2:B21">
    <cfRule type="cellIs" dxfId="7" priority="1" operator="lessThan">
      <formula>5000</formula>
    </cfRule>
    <cfRule type="cellIs" dxfId="6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5D6F-9DC3-4CE4-8B77-9333F6144CE5}">
  <dimension ref="A1:C21"/>
  <sheetViews>
    <sheetView zoomScale="134" workbookViewId="0">
      <selection activeCell="E13" sqref="E13"/>
    </sheetView>
  </sheetViews>
  <sheetFormatPr defaultRowHeight="14.4" x14ac:dyDescent="0.3"/>
  <cols>
    <col min="1" max="1" width="9.77734375" customWidth="1"/>
    <col min="2" max="2" width="10.44140625" customWidth="1"/>
    <col min="3" max="3" width="10.33203125" customWidth="1"/>
  </cols>
  <sheetData>
    <row r="1" spans="1:3" ht="21" customHeight="1" x14ac:dyDescent="0.3">
      <c r="A1" s="41" t="s">
        <v>50</v>
      </c>
      <c r="B1" s="41" t="s">
        <v>108</v>
      </c>
      <c r="C1" s="41" t="s">
        <v>142</v>
      </c>
    </row>
    <row r="2" spans="1:3" ht="15" x14ac:dyDescent="0.3">
      <c r="A2" s="3">
        <v>1</v>
      </c>
      <c r="B2" s="3" t="s">
        <v>93</v>
      </c>
      <c r="C2" s="3">
        <v>85</v>
      </c>
    </row>
    <row r="3" spans="1:3" ht="15" x14ac:dyDescent="0.3">
      <c r="A3" s="33">
        <v>2</v>
      </c>
      <c r="B3" s="33" t="s">
        <v>143</v>
      </c>
      <c r="C3" s="33">
        <v>72</v>
      </c>
    </row>
    <row r="4" spans="1:3" ht="15" x14ac:dyDescent="0.3">
      <c r="A4" s="3">
        <v>3</v>
      </c>
      <c r="B4" s="3" t="s">
        <v>144</v>
      </c>
      <c r="C4" s="3">
        <v>39</v>
      </c>
    </row>
    <row r="5" spans="1:3" ht="15" x14ac:dyDescent="0.3">
      <c r="A5" s="33">
        <v>4</v>
      </c>
      <c r="B5" s="33" t="s">
        <v>145</v>
      </c>
      <c r="C5" s="33">
        <v>91</v>
      </c>
    </row>
    <row r="6" spans="1:3" ht="15" x14ac:dyDescent="0.3">
      <c r="A6" s="3">
        <v>5</v>
      </c>
      <c r="B6" s="3" t="s">
        <v>146</v>
      </c>
      <c r="C6" s="3">
        <v>28</v>
      </c>
    </row>
    <row r="7" spans="1:3" ht="15" x14ac:dyDescent="0.3">
      <c r="A7" s="3">
        <v>6</v>
      </c>
      <c r="B7" s="3" t="s">
        <v>93</v>
      </c>
      <c r="C7" s="34">
        <f ca="1">RANDBETWEEN(28,91)</f>
        <v>77</v>
      </c>
    </row>
    <row r="8" spans="1:3" ht="15" x14ac:dyDescent="0.3">
      <c r="A8" s="33">
        <v>7</v>
      </c>
      <c r="B8" s="33" t="s">
        <v>143</v>
      </c>
      <c r="C8" s="34">
        <f t="shared" ref="C8:C21" ca="1" si="0">RANDBETWEEN(28,91)</f>
        <v>87</v>
      </c>
    </row>
    <row r="9" spans="1:3" ht="15" x14ac:dyDescent="0.3">
      <c r="A9" s="3">
        <v>8</v>
      </c>
      <c r="B9" s="3" t="s">
        <v>144</v>
      </c>
      <c r="C9" s="34">
        <f t="shared" ca="1" si="0"/>
        <v>57</v>
      </c>
    </row>
    <row r="10" spans="1:3" ht="15" x14ac:dyDescent="0.3">
      <c r="A10" s="33">
        <v>9</v>
      </c>
      <c r="B10" s="33" t="s">
        <v>145</v>
      </c>
      <c r="C10" s="34">
        <f t="shared" ca="1" si="0"/>
        <v>76</v>
      </c>
    </row>
    <row r="11" spans="1:3" ht="15" x14ac:dyDescent="0.3">
      <c r="A11" s="3">
        <v>10</v>
      </c>
      <c r="B11" s="3" t="s">
        <v>146</v>
      </c>
      <c r="C11" s="34">
        <f t="shared" ca="1" si="0"/>
        <v>45</v>
      </c>
    </row>
    <row r="12" spans="1:3" ht="15" x14ac:dyDescent="0.3">
      <c r="A12" s="3">
        <v>11</v>
      </c>
      <c r="B12" s="3" t="s">
        <v>93</v>
      </c>
      <c r="C12" s="34">
        <f t="shared" ca="1" si="0"/>
        <v>70</v>
      </c>
    </row>
    <row r="13" spans="1:3" ht="15" x14ac:dyDescent="0.3">
      <c r="A13" s="33">
        <v>12</v>
      </c>
      <c r="B13" s="33" t="s">
        <v>143</v>
      </c>
      <c r="C13" s="34">
        <f t="shared" ca="1" si="0"/>
        <v>77</v>
      </c>
    </row>
    <row r="14" spans="1:3" ht="15" x14ac:dyDescent="0.3">
      <c r="A14" s="3">
        <v>13</v>
      </c>
      <c r="B14" s="3" t="s">
        <v>144</v>
      </c>
      <c r="C14" s="34">
        <f t="shared" ca="1" si="0"/>
        <v>41</v>
      </c>
    </row>
    <row r="15" spans="1:3" ht="15" x14ac:dyDescent="0.3">
      <c r="A15" s="33">
        <v>14</v>
      </c>
      <c r="B15" s="33" t="s">
        <v>145</v>
      </c>
      <c r="C15" s="34">
        <f t="shared" ca="1" si="0"/>
        <v>38</v>
      </c>
    </row>
    <row r="16" spans="1:3" ht="15" x14ac:dyDescent="0.3">
      <c r="A16" s="3">
        <v>15</v>
      </c>
      <c r="B16" s="3" t="s">
        <v>146</v>
      </c>
      <c r="C16" s="34">
        <f t="shared" ca="1" si="0"/>
        <v>66</v>
      </c>
    </row>
    <row r="17" spans="1:3" ht="15" x14ac:dyDescent="0.3">
      <c r="A17" s="3">
        <v>16</v>
      </c>
      <c r="B17" s="3" t="s">
        <v>93</v>
      </c>
      <c r="C17" s="34">
        <f t="shared" ca="1" si="0"/>
        <v>37</v>
      </c>
    </row>
    <row r="18" spans="1:3" ht="15" x14ac:dyDescent="0.3">
      <c r="A18" s="33">
        <v>17</v>
      </c>
      <c r="B18" s="33" t="s">
        <v>143</v>
      </c>
      <c r="C18" s="34">
        <f t="shared" ca="1" si="0"/>
        <v>66</v>
      </c>
    </row>
    <row r="19" spans="1:3" ht="15" x14ac:dyDescent="0.3">
      <c r="A19" s="3">
        <v>18</v>
      </c>
      <c r="B19" s="3" t="s">
        <v>144</v>
      </c>
      <c r="C19" s="34">
        <f t="shared" ca="1" si="0"/>
        <v>46</v>
      </c>
    </row>
    <row r="20" spans="1:3" ht="15" x14ac:dyDescent="0.3">
      <c r="A20" s="33">
        <v>19</v>
      </c>
      <c r="B20" s="33" t="s">
        <v>145</v>
      </c>
      <c r="C20" s="34">
        <f t="shared" ca="1" si="0"/>
        <v>69</v>
      </c>
    </row>
    <row r="21" spans="1:3" ht="15" x14ac:dyDescent="0.3">
      <c r="A21" s="3">
        <v>20</v>
      </c>
      <c r="B21" s="3" t="s">
        <v>146</v>
      </c>
      <c r="C21" s="34">
        <f t="shared" ca="1" si="0"/>
        <v>67</v>
      </c>
    </row>
  </sheetData>
  <conditionalFormatting sqref="C2:C21">
    <cfRule type="cellIs" dxfId="5" priority="1" operator="lessThan">
      <formula>40</formula>
    </cfRule>
    <cfRule type="cellIs" dxfId="4" priority="2" operator="greaterThanOrEqual">
      <formula>75</formula>
    </cfRule>
    <cfRule type="cellIs" priority="3" operator="greaterThanOrEqual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B631-C540-493A-A903-54E818C387A0}">
  <dimension ref="A1:B21"/>
  <sheetViews>
    <sheetView tabSelected="1" zoomScale="128" workbookViewId="0">
      <selection activeCell="G14" sqref="G14"/>
    </sheetView>
  </sheetViews>
  <sheetFormatPr defaultRowHeight="14.4" x14ac:dyDescent="0.3"/>
  <cols>
    <col min="1" max="1" width="14.5546875" customWidth="1"/>
    <col min="2" max="2" width="13.109375" customWidth="1"/>
  </cols>
  <sheetData>
    <row r="1" spans="1:2" ht="34.200000000000003" customHeight="1" x14ac:dyDescent="0.3">
      <c r="A1" s="42" t="s">
        <v>86</v>
      </c>
      <c r="B1" s="42" t="s">
        <v>88</v>
      </c>
    </row>
    <row r="2" spans="1:2" ht="15" x14ac:dyDescent="0.3">
      <c r="A2" s="3" t="s">
        <v>147</v>
      </c>
      <c r="B2" s="3">
        <v>28000</v>
      </c>
    </row>
    <row r="3" spans="1:2" ht="15" x14ac:dyDescent="0.3">
      <c r="A3" s="33" t="s">
        <v>148</v>
      </c>
      <c r="B3" s="33">
        <v>34000</v>
      </c>
    </row>
    <row r="4" spans="1:2" ht="15" x14ac:dyDescent="0.3">
      <c r="A4" s="3" t="s">
        <v>149</v>
      </c>
      <c r="B4" s="3">
        <v>51000</v>
      </c>
    </row>
    <row r="5" spans="1:2" ht="15" x14ac:dyDescent="0.3">
      <c r="A5" s="33" t="s">
        <v>150</v>
      </c>
      <c r="B5" s="33">
        <v>47000</v>
      </c>
    </row>
    <row r="6" spans="1:2" ht="15" x14ac:dyDescent="0.3">
      <c r="A6" s="3" t="s">
        <v>151</v>
      </c>
      <c r="B6" s="3">
        <v>29000</v>
      </c>
    </row>
    <row r="7" spans="1:2" ht="15" x14ac:dyDescent="0.3">
      <c r="A7" s="3" t="s">
        <v>147</v>
      </c>
      <c r="B7" s="34">
        <f ca="1">RANDBETWEEN(28000,58000)</f>
        <v>48937</v>
      </c>
    </row>
    <row r="8" spans="1:2" ht="15" x14ac:dyDescent="0.3">
      <c r="A8" s="33" t="s">
        <v>148</v>
      </c>
      <c r="B8" s="34">
        <f t="shared" ref="B8:B21" ca="1" si="0">RANDBETWEEN(28000,58000)</f>
        <v>32896</v>
      </c>
    </row>
    <row r="9" spans="1:2" ht="15" x14ac:dyDescent="0.3">
      <c r="A9" s="3" t="s">
        <v>149</v>
      </c>
      <c r="B9" s="34">
        <f t="shared" ca="1" si="0"/>
        <v>47137</v>
      </c>
    </row>
    <row r="10" spans="1:2" ht="15" x14ac:dyDescent="0.3">
      <c r="A10" s="33" t="s">
        <v>150</v>
      </c>
      <c r="B10" s="34">
        <f t="shared" ca="1" si="0"/>
        <v>34317</v>
      </c>
    </row>
    <row r="11" spans="1:2" ht="15" x14ac:dyDescent="0.3">
      <c r="A11" s="3" t="s">
        <v>151</v>
      </c>
      <c r="B11" s="34">
        <f t="shared" ca="1" si="0"/>
        <v>31132</v>
      </c>
    </row>
    <row r="12" spans="1:2" ht="15" x14ac:dyDescent="0.3">
      <c r="A12" s="3" t="s">
        <v>147</v>
      </c>
      <c r="B12" s="34">
        <f t="shared" ca="1" si="0"/>
        <v>44839</v>
      </c>
    </row>
    <row r="13" spans="1:2" ht="15" x14ac:dyDescent="0.3">
      <c r="A13" s="33" t="s">
        <v>148</v>
      </c>
      <c r="B13" s="34">
        <f t="shared" ca="1" si="0"/>
        <v>51238</v>
      </c>
    </row>
    <row r="14" spans="1:2" ht="15" x14ac:dyDescent="0.3">
      <c r="A14" s="3" t="s">
        <v>149</v>
      </c>
      <c r="B14" s="34">
        <f t="shared" ca="1" si="0"/>
        <v>41878</v>
      </c>
    </row>
    <row r="15" spans="1:2" ht="15" x14ac:dyDescent="0.3">
      <c r="A15" s="33" t="s">
        <v>150</v>
      </c>
      <c r="B15" s="34">
        <f t="shared" ca="1" si="0"/>
        <v>32918</v>
      </c>
    </row>
    <row r="16" spans="1:2" ht="15" x14ac:dyDescent="0.3">
      <c r="A16" s="3" t="s">
        <v>151</v>
      </c>
      <c r="B16" s="34">
        <f t="shared" ca="1" si="0"/>
        <v>37390</v>
      </c>
    </row>
    <row r="17" spans="1:2" ht="15" x14ac:dyDescent="0.3">
      <c r="A17" s="3" t="s">
        <v>147</v>
      </c>
      <c r="B17" s="34">
        <f t="shared" ca="1" si="0"/>
        <v>50140</v>
      </c>
    </row>
    <row r="18" spans="1:2" ht="15" x14ac:dyDescent="0.3">
      <c r="A18" s="33" t="s">
        <v>148</v>
      </c>
      <c r="B18" s="34">
        <f t="shared" ca="1" si="0"/>
        <v>45913</v>
      </c>
    </row>
    <row r="19" spans="1:2" ht="15" x14ac:dyDescent="0.3">
      <c r="A19" s="3" t="s">
        <v>149</v>
      </c>
      <c r="B19" s="34">
        <f t="shared" ca="1" si="0"/>
        <v>34189</v>
      </c>
    </row>
    <row r="20" spans="1:2" ht="15" x14ac:dyDescent="0.3">
      <c r="A20" s="33" t="s">
        <v>150</v>
      </c>
      <c r="B20" s="34">
        <f t="shared" ca="1" si="0"/>
        <v>41372</v>
      </c>
    </row>
    <row r="21" spans="1:2" ht="15" x14ac:dyDescent="0.3">
      <c r="A21" s="3" t="s">
        <v>151</v>
      </c>
      <c r="B21" s="34">
        <f t="shared" ca="1" si="0"/>
        <v>57037</v>
      </c>
    </row>
  </sheetData>
  <conditionalFormatting sqref="B2:B21">
    <cfRule type="cellIs" dxfId="3" priority="1" operator="between">
      <formula>30000</formula>
      <formula>49999</formula>
    </cfRule>
    <cfRule type="cellIs" dxfId="2" priority="2" operator="lessThan">
      <formula>30000</formula>
    </cfRule>
    <cfRule type="cellIs" dxfId="1" priority="3" operator="greaterThanOrEqual">
      <formula>50000</formula>
    </cfRule>
    <cfRule type="cellIs" dxfId="0" priority="5" operator="greaterThanOrEqual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01</vt:lpstr>
      <vt:lpstr>Task 02</vt:lpstr>
      <vt:lpstr>Task 03</vt:lpstr>
      <vt:lpstr>Task 04</vt:lpstr>
      <vt:lpstr>Task 05</vt:lpstr>
      <vt:lpstr>Task 06</vt:lpstr>
      <vt:lpstr>Task 07</vt:lpstr>
      <vt:lpstr>Task 08</vt:lpstr>
      <vt:lpstr>Task 09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Vanshika Patel</cp:lastModifiedBy>
  <dcterms:created xsi:type="dcterms:W3CDTF">2026-07-04T08:24:11Z</dcterms:created>
  <dcterms:modified xsi:type="dcterms:W3CDTF">2026-07-04T14:46:03Z</dcterms:modified>
</cp:coreProperties>
</file>