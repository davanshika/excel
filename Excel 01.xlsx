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3\Desktop\"/>
    </mc:Choice>
  </mc:AlternateContent>
  <xr:revisionPtr revIDLastSave="0" documentId="8_{FADE2233-0381-4F84-869A-BDA2A3F29749}" xr6:coauthVersionLast="47" xr6:coauthVersionMax="47" xr10:uidLastSave="{00000000-0000-0000-0000-000000000000}"/>
  <bookViews>
    <workbookView xWindow="-120" yWindow="-120" windowWidth="20730" windowHeight="11040" activeTab="5" xr2:uid="{0E6A361D-E423-4B3F-87A1-2AE610393DF9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3" i="6" l="1"/>
  <c r="E23" i="6"/>
  <c r="D23" i="6"/>
  <c r="C23" i="6"/>
  <c r="B23" i="6"/>
  <c r="F22" i="6"/>
  <c r="E22" i="6"/>
  <c r="D22" i="6"/>
  <c r="C22" i="6"/>
  <c r="B22" i="6"/>
  <c r="H9" i="5"/>
  <c r="H8" i="5"/>
  <c r="H6" i="5"/>
  <c r="H5" i="5"/>
  <c r="H4" i="5"/>
  <c r="B25" i="4"/>
  <c r="B24" i="4"/>
  <c r="B23" i="4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3" i="3"/>
  <c r="G4" i="3"/>
  <c r="G5" i="3"/>
  <c r="G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6" i="3"/>
  <c r="F5" i="3"/>
  <c r="F4" i="3"/>
  <c r="F3" i="3"/>
  <c r="F2" i="3"/>
  <c r="G2" i="3" s="1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</calcChain>
</file>

<file path=xl/sharedStrings.xml><?xml version="1.0" encoding="utf-8"?>
<sst xmlns="http://schemas.openxmlformats.org/spreadsheetml/2006/main" count="360" uniqueCount="116">
  <si>
    <t>employee id</t>
  </si>
  <si>
    <t>name</t>
  </si>
  <si>
    <t>department</t>
  </si>
  <si>
    <t>salary</t>
  </si>
  <si>
    <t>joining date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</si>
  <si>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</si>
  <si>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</si>
  <si>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</si>
  <si>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</si>
  <si>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</si>
  <si>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</si>
  <si>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</si>
  <si>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</si>
  <si>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</si>
  <si>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</si>
  <si>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</si>
  <si>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</si>
  <si>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</si>
  <si>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</si>
  <si>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</si>
  <si>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</si>
  <si>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</si>
  <si>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</si>
  <si>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</si>
  <si>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</si>
  <si>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Amit Sharma</t>
  </si>
  <si>
    <t>Neha Verma</t>
  </si>
  <si>
    <t>Rahul Mehta</t>
  </si>
  <si>
    <t>Pooja Singh</t>
  </si>
  <si>
    <t>Ankit Patel</t>
  </si>
  <si>
    <t>HR</t>
  </si>
  <si>
    <t>IT</t>
  </si>
  <si>
    <t>Finance</t>
  </si>
  <si>
    <t>Sales</t>
  </si>
  <si>
    <t>Monthly Salary REPORT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</si>
  <si>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</si>
  <si>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</si>
  <si>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</si>
  <si>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</si>
  <si>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</si>
  <si>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</si>
  <si>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</si>
  <si>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</si>
  <si>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</si>
  <si>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</si>
  <si>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</si>
  <si>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</si>
  <si>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</si>
  <si>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</si>
  <si>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</si>
  <si>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</si>
  <si>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</si>
  <si>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</si>
  <si>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</si>
  <si>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</si>
  <si>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</si>
  <si>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</si>
  <si>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</si>
  <si>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</si>
  <si>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</si>
  <si>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</si>
  <si>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</si>
  <si>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</si>
  <si>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</si>
  <si>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</si>
  <si>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</si>
  <si>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TOTAL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</si>
  <si>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</si>
  <si>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</si>
  <si>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</si>
  <si>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</si>
  <si>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</si>
  <si>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</si>
  <si>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</si>
  <si>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</si>
  <si>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</si>
  <si>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</si>
  <si>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</si>
  <si>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</si>
  <si>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</si>
  <si>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</si>
  <si>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</si>
  <si>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</si>
  <si>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</si>
  <si>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</si>
  <si>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</si>
  <si>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</si>
  <si>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</si>
  <si>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</si>
  <si>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SALES=563000</t>
  </si>
  <si>
    <t>HIGHEST</t>
  </si>
  <si>
    <t>LOWEST</t>
  </si>
  <si>
    <t xml:space="preserve">AVERAGE </t>
  </si>
  <si>
    <t>Employee Name</t>
  </si>
  <si>
    <t>Department</t>
  </si>
  <si>
    <t>Salary</t>
  </si>
  <si>
    <t>Suresh</t>
  </si>
  <si>
    <t>Meena</t>
  </si>
  <si>
    <t>Karan</t>
  </si>
  <si>
    <t>Ritu</t>
  </si>
  <si>
    <t>Aman</t>
  </si>
  <si>
    <t>Neel</t>
  </si>
  <si>
    <t xml:space="preserve">TOTAL SALARY OF HR </t>
  </si>
  <si>
    <t>TOTAL SALARY OF IT</t>
  </si>
  <si>
    <t>TOTAL SALARY OF FINANCE</t>
  </si>
  <si>
    <t>AVERAGE SALARY</t>
  </si>
  <si>
    <t>COUNT EMPLOYEE</t>
  </si>
  <si>
    <t>Day 1</t>
  </si>
  <si>
    <t>Day 2</t>
  </si>
  <si>
    <t>Day 3</t>
  </si>
  <si>
    <t>Day 4</t>
  </si>
  <si>
    <t>Day 5</t>
  </si>
  <si>
    <t>P</t>
  </si>
  <si>
    <t>A</t>
  </si>
  <si>
    <t>Count present day</t>
  </si>
  <si>
    <t>count absent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</si>
</sst>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5" formatCode="&quot;₹&quot;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rgb="FF1F2328"/>
      <name val="Segoe UI"/>
      <family val="2"/>
    </font>
    <font>
      <sz val="10"/>
      <color rgb="FF1F2328"/>
      <name val="Segoe UI"/>
      <family val="2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</cellStyleXfs>
  <cellXfs count="35">
    <xf numFmtId="0" fontId="0" fillId="0" borderId="0" xfId="0"/>
    <xf numFmtId="0" fontId="0" fillId="0" borderId="1" xfId="0" applyBorder="1"/>
    <xf numFmtId="165" fontId="0" fillId="0" borderId="1" xfId="0" applyNumberFormat="1" applyBorder="1"/>
    <xf numFmtId="14" fontId="0" fillId="0" borderId="1" xfId="0" applyNumberFormat="1" applyBorder="1"/>
    <xf numFmtId="0" fontId="2" fillId="4" borderId="1" xfId="0" applyFont="1" applyFill="1" applyBorder="1"/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indent="1"/>
    </xf>
    <xf numFmtId="0" fontId="6" fillId="5" borderId="1" xfId="0" applyFont="1" applyFill="1" applyBorder="1" applyAlignment="1">
      <alignment horizontal="left" vertical="center" wrapText="1" indent="1"/>
    </xf>
    <xf numFmtId="44" fontId="6" fillId="5" borderId="1" xfId="1" applyFont="1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wrapText="1" indent="1"/>
    </xf>
    <xf numFmtId="44" fontId="6" fillId="6" borderId="1" xfId="1" applyFont="1" applyFill="1" applyBorder="1" applyAlignment="1">
      <alignment horizontal="left" vertical="center" wrapText="1" indent="1"/>
    </xf>
    <xf numFmtId="44" fontId="0" fillId="0" borderId="1" xfId="1" applyFont="1" applyBorder="1" applyAlignment="1">
      <alignment horizontal="left" indent="1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left" vertical="center" wrapText="1" indent="1"/>
    </xf>
    <xf numFmtId="0" fontId="8" fillId="6" borderId="2" xfId="0" applyFont="1" applyFill="1" applyBorder="1" applyAlignment="1">
      <alignment horizontal="left" vertical="center" wrapText="1" indent="1"/>
    </xf>
    <xf numFmtId="0" fontId="8" fillId="5" borderId="3" xfId="0" applyFont="1" applyFill="1" applyBorder="1" applyAlignment="1">
      <alignment horizontal="left" vertical="center" wrapText="1" inden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 indent="1"/>
    </xf>
    <xf numFmtId="0" fontId="8" fillId="6" borderId="1" xfId="0" applyFont="1" applyFill="1" applyBorder="1" applyAlignment="1">
      <alignment horizontal="left" vertical="center" wrapText="1" indent="1"/>
    </xf>
    <xf numFmtId="0" fontId="1" fillId="3" borderId="1" xfId="3" applyBorder="1" applyAlignment="1">
      <alignment horizontal="left" vertical="center" wrapText="1" indent="1"/>
    </xf>
    <xf numFmtId="9" fontId="1" fillId="3" borderId="1" xfId="3" applyNumberFormat="1" applyBorder="1"/>
    <xf numFmtId="0" fontId="3" fillId="2" borderId="1" xfId="2" applyBorder="1" applyAlignment="1">
      <alignment horizontal="center" vertical="center" wrapText="1"/>
    </xf>
    <xf numFmtId="0" fontId="3" fillId="2" borderId="1" xfId="2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left" vertical="center" wrapText="1" indent="1"/>
    </xf>
    <xf numFmtId="14" fontId="8" fillId="6" borderId="1" xfId="0" applyNumberFormat="1" applyFont="1" applyFill="1" applyBorder="1" applyAlignment="1">
      <alignment horizontal="left" vertical="center" wrapText="1" indent="1"/>
    </xf>
    <xf numFmtId="0" fontId="8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/>
    <xf numFmtId="0" fontId="8" fillId="5" borderId="4" xfId="0" applyFont="1" applyFill="1" applyBorder="1" applyAlignment="1">
      <alignment horizontal="left" vertical="center" wrapText="1" indent="1"/>
    </xf>
    <xf numFmtId="0" fontId="6" fillId="8" borderId="1" xfId="0" applyFont="1" applyFill="1" applyBorder="1" applyAlignment="1">
      <alignment horizontal="left" vertical="center" wrapText="1" indent="1"/>
    </xf>
    <xf numFmtId="0" fontId="0" fillId="8" borderId="1" xfId="0" applyFill="1" applyBorder="1"/>
    <xf numFmtId="0" fontId="0" fillId="8" borderId="1" xfId="0" applyFill="1" applyBorder="1" applyAlignment="1">
      <alignment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 indent="1"/>
    </xf>
  </cellXfs>
  <cellStyles count="4">
    <cellStyle name="40% - Accent1" xfId="3" builtinId="31"/>
    <cellStyle name="Accent1" xfId="2" builtinId="29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204C-F60B-4238-9421-C8E3D1390BDC}">
  <dimension ref="A1:E21"/>
  <sheetViews>
    <sheetView workbookViewId="0">
      <selection activeCell="H14" sqref="H14"/>
    </sheetView>
  </sheetViews>
  <sheetFormatPr defaultRowHeight="15" x14ac:dyDescent="0.25"/>
  <cols>
    <col min="1" max="1" width="12.140625" bestFit="1" customWidth="1"/>
    <col min="2" max="2" width="12.28515625" bestFit="1" customWidth="1"/>
    <col min="3" max="3" width="11.5703125" bestFit="1" customWidth="1"/>
    <col min="4" max="4" width="10.7109375" bestFit="1" customWidth="1"/>
    <col min="5" max="5" width="11.5703125" bestFit="1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x14ac:dyDescent="0.25">
      <c r="A2" s="1" t="s">
        <v>5</v>
      </c>
      <c r="B2" s="1" t="s">
        <v>25</v>
      </c>
      <c r="C2" s="1" t="s">
        <v>30</v>
      </c>
      <c r="D2" s="2">
        <v>32000</v>
      </c>
      <c r="E2" s="3">
        <v>44573</v>
      </c>
    </row>
    <row r="3" spans="1:5" x14ac:dyDescent="0.25">
      <c r="A3" s="1" t="s">
        <v>6</v>
      </c>
      <c r="B3" s="1" t="s">
        <v>26</v>
      </c>
      <c r="C3" s="1" t="s">
        <v>31</v>
      </c>
      <c r="D3" s="2">
        <v>45000</v>
      </c>
      <c r="E3" s="3">
        <v>44260</v>
      </c>
    </row>
    <row r="4" spans="1:5" x14ac:dyDescent="0.25">
      <c r="A4" s="1" t="s">
        <v>7</v>
      </c>
      <c r="B4" s="1" t="s">
        <v>27</v>
      </c>
      <c r="C4" s="1" t="s">
        <v>32</v>
      </c>
      <c r="D4" s="2">
        <v>38000</v>
      </c>
      <c r="E4" s="3">
        <v>44030</v>
      </c>
    </row>
    <row r="5" spans="1:5" x14ac:dyDescent="0.25">
      <c r="A5" s="1" t="s">
        <v>8</v>
      </c>
      <c r="B5" s="1" t="s">
        <v>28</v>
      </c>
      <c r="C5" s="1" t="s">
        <v>31</v>
      </c>
      <c r="D5" s="2">
        <v>52000</v>
      </c>
      <c r="E5" s="3">
        <v>43779</v>
      </c>
    </row>
    <row r="6" spans="1:5" x14ac:dyDescent="0.25">
      <c r="A6" s="1" t="s">
        <v>9</v>
      </c>
      <c r="B6" s="1" t="s">
        <v>29</v>
      </c>
      <c r="C6" s="1" t="s">
        <v>33</v>
      </c>
      <c r="D6" s="2">
        <v>30000</v>
      </c>
      <c r="E6" s="3">
        <v>45102</v>
      </c>
    </row>
    <row r="7" spans="1:5" x14ac:dyDescent="0.25">
      <c r="A7" s="1" t="s">
        <v>10</v>
      </c>
      <c r="B7" s="1" t="s">
        <v>25</v>
      </c>
      <c r="C7" s="1" t="s">
        <v>30</v>
      </c>
      <c r="D7" s="2">
        <v>62000</v>
      </c>
      <c r="E7" s="3">
        <v>44573</v>
      </c>
    </row>
    <row r="8" spans="1:5" x14ac:dyDescent="0.25">
      <c r="A8" s="1" t="s">
        <v>11</v>
      </c>
      <c r="B8" s="1" t="s">
        <v>26</v>
      </c>
      <c r="C8" s="1" t="s">
        <v>31</v>
      </c>
      <c r="D8" s="2">
        <v>54000</v>
      </c>
      <c r="E8" s="3">
        <v>44260</v>
      </c>
    </row>
    <row r="9" spans="1:5" x14ac:dyDescent="0.25">
      <c r="A9" s="1" t="s">
        <v>12</v>
      </c>
      <c r="B9" s="1" t="s">
        <v>27</v>
      </c>
      <c r="C9" s="1" t="s">
        <v>32</v>
      </c>
      <c r="D9" s="2">
        <v>74000</v>
      </c>
      <c r="E9" s="3">
        <v>44030</v>
      </c>
    </row>
    <row r="10" spans="1:5" x14ac:dyDescent="0.25">
      <c r="A10" s="1" t="s">
        <v>13</v>
      </c>
      <c r="B10" s="1" t="s">
        <v>28</v>
      </c>
      <c r="C10" s="1" t="s">
        <v>31</v>
      </c>
      <c r="D10" s="2">
        <v>38000</v>
      </c>
      <c r="E10" s="3">
        <v>43779</v>
      </c>
    </row>
    <row r="11" spans="1:5" x14ac:dyDescent="0.25">
      <c r="A11" s="1" t="s">
        <v>14</v>
      </c>
      <c r="B11" s="1" t="s">
        <v>29</v>
      </c>
      <c r="C11" s="1" t="s">
        <v>33</v>
      </c>
      <c r="D11" s="2">
        <v>63000</v>
      </c>
      <c r="E11" s="3">
        <v>45102</v>
      </c>
    </row>
    <row r="12" spans="1:5" x14ac:dyDescent="0.25">
      <c r="A12" s="1" t="s">
        <v>15</v>
      </c>
      <c r="B12" s="1" t="s">
        <v>25</v>
      </c>
      <c r="C12" s="1" t="s">
        <v>30</v>
      </c>
      <c r="D12" s="2">
        <v>68000</v>
      </c>
      <c r="E12" s="3">
        <v>44573</v>
      </c>
    </row>
    <row r="13" spans="1:5" x14ac:dyDescent="0.25">
      <c r="A13" s="1" t="s">
        <v>16</v>
      </c>
      <c r="B13" s="1" t="s">
        <v>26</v>
      </c>
      <c r="C13" s="1" t="s">
        <v>31</v>
      </c>
      <c r="D13" s="2">
        <v>33000</v>
      </c>
      <c r="E13" s="3">
        <v>44260</v>
      </c>
    </row>
    <row r="14" spans="1:5" x14ac:dyDescent="0.25">
      <c r="A14" s="1" t="s">
        <v>17</v>
      </c>
      <c r="B14" s="1" t="s">
        <v>27</v>
      </c>
      <c r="C14" s="1" t="s">
        <v>32</v>
      </c>
      <c r="D14" s="2">
        <v>64000</v>
      </c>
      <c r="E14" s="3">
        <v>44030</v>
      </c>
    </row>
    <row r="15" spans="1:5" x14ac:dyDescent="0.25">
      <c r="A15" s="1" t="s">
        <v>18</v>
      </c>
      <c r="B15" s="1" t="s">
        <v>28</v>
      </c>
      <c r="C15" s="1" t="s">
        <v>31</v>
      </c>
      <c r="D15" s="2">
        <v>55000</v>
      </c>
      <c r="E15" s="3">
        <v>43779</v>
      </c>
    </row>
    <row r="16" spans="1:5" x14ac:dyDescent="0.25">
      <c r="A16" s="1" t="s">
        <v>19</v>
      </c>
      <c r="B16" s="1" t="s">
        <v>29</v>
      </c>
      <c r="C16" s="1" t="s">
        <v>33</v>
      </c>
      <c r="D16" s="2">
        <v>34550</v>
      </c>
      <c r="E16" s="3">
        <v>45102</v>
      </c>
    </row>
    <row r="17" spans="1:5" x14ac:dyDescent="0.25">
      <c r="A17" s="1" t="s">
        <v>20</v>
      </c>
      <c r="B17" s="1" t="s">
        <v>25</v>
      </c>
      <c r="C17" s="1" t="s">
        <v>30</v>
      </c>
      <c r="D17" s="2">
        <v>45000</v>
      </c>
      <c r="E17" s="3">
        <v>44573</v>
      </c>
    </row>
    <row r="18" spans="1:5" x14ac:dyDescent="0.25">
      <c r="A18" s="1" t="s">
        <v>21</v>
      </c>
      <c r="B18" s="1" t="s">
        <v>26</v>
      </c>
      <c r="C18" s="1" t="s">
        <v>31</v>
      </c>
      <c r="D18" s="2">
        <v>54600</v>
      </c>
      <c r="E18" s="3">
        <v>44260</v>
      </c>
    </row>
    <row r="19" spans="1:5" x14ac:dyDescent="0.25">
      <c r="A19" s="1" t="s">
        <v>22</v>
      </c>
      <c r="B19" s="1" t="s">
        <v>27</v>
      </c>
      <c r="C19" s="1" t="s">
        <v>32</v>
      </c>
      <c r="D19" s="2">
        <v>45000</v>
      </c>
      <c r="E19" s="3">
        <v>44030</v>
      </c>
    </row>
    <row r="20" spans="1:5" x14ac:dyDescent="0.25">
      <c r="A20" s="1" t="s">
        <v>23</v>
      </c>
      <c r="B20" s="1" t="s">
        <v>28</v>
      </c>
      <c r="C20" s="1" t="s">
        <v>31</v>
      </c>
      <c r="D20" s="2">
        <v>43330</v>
      </c>
      <c r="E20" s="3">
        <v>43779</v>
      </c>
    </row>
    <row r="21" spans="1:5" x14ac:dyDescent="0.25">
      <c r="A21" s="1" t="s">
        <v>24</v>
      </c>
      <c r="B21" s="1" t="s">
        <v>29</v>
      </c>
      <c r="C21" s="1" t="s">
        <v>33</v>
      </c>
      <c r="D21" s="2">
        <v>56750</v>
      </c>
      <c r="E21" s="3">
        <v>45102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5F40B-8832-4BC3-9CE3-2C4ACDE17745}">
  <dimension ref="A1:D22"/>
  <sheetViews>
    <sheetView workbookViewId="0">
      <selection activeCell="D26" sqref="D26"/>
    </sheetView>
  </sheetViews>
  <sheetFormatPr defaultRowHeight="15" x14ac:dyDescent="0.25"/>
  <cols>
    <col min="1" max="1" width="18.140625" customWidth="1"/>
    <col min="2" max="2" width="17.28515625" customWidth="1"/>
    <col min="3" max="4" width="13.28515625" customWidth="1"/>
  </cols>
  <sheetData>
    <row r="1" spans="1:4" x14ac:dyDescent="0.25">
      <c r="A1" s="5" t="s">
        <v>34</v>
      </c>
      <c r="B1" s="5"/>
      <c r="C1" s="5"/>
      <c r="D1" s="5"/>
    </row>
    <row r="2" spans="1:4" ht="28.5" x14ac:dyDescent="0.25">
      <c r="A2" s="6" t="s">
        <v>35</v>
      </c>
      <c r="B2" s="6" t="s">
        <v>36</v>
      </c>
      <c r="C2" s="6" t="s">
        <v>37</v>
      </c>
      <c r="D2" s="6" t="s">
        <v>38</v>
      </c>
    </row>
    <row r="3" spans="1:4" x14ac:dyDescent="0.25">
      <c r="A3" s="7" t="s">
        <v>39</v>
      </c>
      <c r="B3" s="8" t="s">
        <v>40</v>
      </c>
      <c r="C3" s="9">
        <v>45000</v>
      </c>
      <c r="D3" s="8" t="s">
        <v>41</v>
      </c>
    </row>
    <row r="4" spans="1:4" x14ac:dyDescent="0.25">
      <c r="A4" s="10" t="s">
        <v>42</v>
      </c>
      <c r="B4" s="11" t="s">
        <v>43</v>
      </c>
      <c r="C4" s="12">
        <v>1200</v>
      </c>
      <c r="D4" s="11" t="s">
        <v>44</v>
      </c>
    </row>
    <row r="5" spans="1:4" x14ac:dyDescent="0.25">
      <c r="A5" s="7" t="s">
        <v>45</v>
      </c>
      <c r="B5" s="8" t="s">
        <v>46</v>
      </c>
      <c r="C5" s="9">
        <v>18000</v>
      </c>
      <c r="D5" s="8" t="s">
        <v>47</v>
      </c>
    </row>
    <row r="6" spans="1:4" x14ac:dyDescent="0.25">
      <c r="A6" s="10" t="s">
        <v>48</v>
      </c>
      <c r="B6" s="11" t="s">
        <v>49</v>
      </c>
      <c r="C6" s="12">
        <v>62000</v>
      </c>
      <c r="D6" s="11" t="s">
        <v>50</v>
      </c>
    </row>
    <row r="7" spans="1:4" x14ac:dyDescent="0.25">
      <c r="A7" s="7" t="s">
        <v>51</v>
      </c>
      <c r="B7" s="8" t="s">
        <v>40</v>
      </c>
      <c r="C7" s="13">
        <f ca="1">RANDBETWEEN(1200,63000)</f>
        <v>53939</v>
      </c>
      <c r="D7" s="8" t="s">
        <v>41</v>
      </c>
    </row>
    <row r="8" spans="1:4" x14ac:dyDescent="0.25">
      <c r="A8" s="10" t="s">
        <v>42</v>
      </c>
      <c r="B8" s="11" t="s">
        <v>43</v>
      </c>
      <c r="C8" s="13">
        <f t="shared" ref="C8:C22" ca="1" si="0">RANDBETWEEN(1200,63000)</f>
        <v>16045</v>
      </c>
      <c r="D8" s="11" t="s">
        <v>44</v>
      </c>
    </row>
    <row r="9" spans="1:4" x14ac:dyDescent="0.25">
      <c r="A9" s="7" t="s">
        <v>45</v>
      </c>
      <c r="B9" s="8" t="s">
        <v>46</v>
      </c>
      <c r="C9" s="13">
        <f t="shared" ca="1" si="0"/>
        <v>44107</v>
      </c>
      <c r="D9" s="8" t="s">
        <v>47</v>
      </c>
    </row>
    <row r="10" spans="1:4" x14ac:dyDescent="0.25">
      <c r="A10" s="10" t="s">
        <v>48</v>
      </c>
      <c r="B10" s="11" t="s">
        <v>49</v>
      </c>
      <c r="C10" s="13">
        <f t="shared" ca="1" si="0"/>
        <v>55417</v>
      </c>
      <c r="D10" s="11" t="s">
        <v>50</v>
      </c>
    </row>
    <row r="11" spans="1:4" x14ac:dyDescent="0.25">
      <c r="A11" s="7" t="s">
        <v>52</v>
      </c>
      <c r="B11" s="8" t="s">
        <v>40</v>
      </c>
      <c r="C11" s="13">
        <f t="shared" ca="1" si="0"/>
        <v>38559</v>
      </c>
      <c r="D11" s="8" t="s">
        <v>41</v>
      </c>
    </row>
    <row r="12" spans="1:4" x14ac:dyDescent="0.25">
      <c r="A12" s="10" t="s">
        <v>42</v>
      </c>
      <c r="B12" s="11" t="s">
        <v>43</v>
      </c>
      <c r="C12" s="13">
        <f t="shared" ca="1" si="0"/>
        <v>20244</v>
      </c>
      <c r="D12" s="11" t="s">
        <v>44</v>
      </c>
    </row>
    <row r="13" spans="1:4" x14ac:dyDescent="0.25">
      <c r="A13" s="7" t="s">
        <v>45</v>
      </c>
      <c r="B13" s="8" t="s">
        <v>46</v>
      </c>
      <c r="C13" s="13">
        <f t="shared" ca="1" si="0"/>
        <v>19622</v>
      </c>
      <c r="D13" s="8" t="s">
        <v>47</v>
      </c>
    </row>
    <row r="14" spans="1:4" x14ac:dyDescent="0.25">
      <c r="A14" s="10" t="s">
        <v>48</v>
      </c>
      <c r="B14" s="11" t="s">
        <v>49</v>
      </c>
      <c r="C14" s="13">
        <f t="shared" ca="1" si="0"/>
        <v>9964</v>
      </c>
      <c r="D14" s="11" t="s">
        <v>50</v>
      </c>
    </row>
    <row r="15" spans="1:4" x14ac:dyDescent="0.25">
      <c r="A15" s="7" t="s">
        <v>53</v>
      </c>
      <c r="B15" s="8" t="s">
        <v>40</v>
      </c>
      <c r="C15" s="13">
        <f t="shared" ca="1" si="0"/>
        <v>45996</v>
      </c>
      <c r="D15" s="8" t="s">
        <v>41</v>
      </c>
    </row>
    <row r="16" spans="1:4" x14ac:dyDescent="0.25">
      <c r="A16" s="10" t="s">
        <v>42</v>
      </c>
      <c r="B16" s="11" t="s">
        <v>43</v>
      </c>
      <c r="C16" s="13">
        <f t="shared" ca="1" si="0"/>
        <v>42904</v>
      </c>
      <c r="D16" s="11" t="s">
        <v>44</v>
      </c>
    </row>
    <row r="17" spans="1:4" x14ac:dyDescent="0.25">
      <c r="A17" s="7" t="s">
        <v>45</v>
      </c>
      <c r="B17" s="8" t="s">
        <v>46</v>
      </c>
      <c r="C17" s="13">
        <f t="shared" ca="1" si="0"/>
        <v>32174</v>
      </c>
      <c r="D17" s="8" t="s">
        <v>47</v>
      </c>
    </row>
    <row r="18" spans="1:4" x14ac:dyDescent="0.25">
      <c r="A18" s="10" t="s">
        <v>48</v>
      </c>
      <c r="B18" s="11" t="s">
        <v>49</v>
      </c>
      <c r="C18" s="13">
        <f t="shared" ca="1" si="0"/>
        <v>13793</v>
      </c>
      <c r="D18" s="11" t="s">
        <v>50</v>
      </c>
    </row>
    <row r="19" spans="1:4" x14ac:dyDescent="0.25">
      <c r="A19" s="7" t="s">
        <v>54</v>
      </c>
      <c r="B19" s="8" t="s">
        <v>40</v>
      </c>
      <c r="C19" s="13">
        <f t="shared" ca="1" si="0"/>
        <v>19166</v>
      </c>
      <c r="D19" s="8" t="s">
        <v>41</v>
      </c>
    </row>
    <row r="20" spans="1:4" x14ac:dyDescent="0.25">
      <c r="A20" s="10" t="s">
        <v>42</v>
      </c>
      <c r="B20" s="11" t="s">
        <v>43</v>
      </c>
      <c r="C20" s="13">
        <f t="shared" ca="1" si="0"/>
        <v>20611</v>
      </c>
      <c r="D20" s="11" t="s">
        <v>44</v>
      </c>
    </row>
    <row r="21" spans="1:4" x14ac:dyDescent="0.25">
      <c r="A21" s="7" t="s">
        <v>45</v>
      </c>
      <c r="B21" s="8" t="s">
        <v>46</v>
      </c>
      <c r="C21" s="13">
        <f t="shared" ca="1" si="0"/>
        <v>49061</v>
      </c>
      <c r="D21" s="8" t="s">
        <v>47</v>
      </c>
    </row>
    <row r="22" spans="1:4" x14ac:dyDescent="0.25">
      <c r="A22" s="10" t="s">
        <v>48</v>
      </c>
      <c r="B22" s="11" t="s">
        <v>49</v>
      </c>
      <c r="C22" s="13">
        <f t="shared" ca="1" si="0"/>
        <v>52861</v>
      </c>
      <c r="D22" s="11" t="s">
        <v>50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44536-1BDE-4407-BFBA-E6F09FBE76C2}">
  <dimension ref="A1:G23"/>
  <sheetViews>
    <sheetView workbookViewId="0">
      <selection sqref="A1:G1"/>
    </sheetView>
  </sheetViews>
  <sheetFormatPr defaultRowHeight="15" x14ac:dyDescent="0.25"/>
  <cols>
    <col min="1" max="1" width="16.7109375" customWidth="1"/>
    <col min="2" max="2" width="16.85546875" customWidth="1"/>
    <col min="3" max="3" width="12.140625" customWidth="1"/>
    <col min="4" max="4" width="13.140625" customWidth="1"/>
    <col min="5" max="5" width="11" customWidth="1"/>
    <col min="6" max="6" width="15.28515625" customWidth="1"/>
    <col min="7" max="7" width="14.85546875" customWidth="1"/>
  </cols>
  <sheetData>
    <row r="1" spans="1:7" x14ac:dyDescent="0.25">
      <c r="A1" s="23" t="s">
        <v>55</v>
      </c>
      <c r="B1" s="23" t="s">
        <v>56</v>
      </c>
      <c r="C1" s="23" t="s">
        <v>57</v>
      </c>
      <c r="D1" s="23" t="s">
        <v>58</v>
      </c>
      <c r="E1" s="23" t="s">
        <v>59</v>
      </c>
      <c r="F1" s="23" t="s">
        <v>66</v>
      </c>
      <c r="G1" s="24" t="s">
        <v>60</v>
      </c>
    </row>
    <row r="2" spans="1:7" x14ac:dyDescent="0.25">
      <c r="A2" s="21">
        <v>1</v>
      </c>
      <c r="B2" s="21" t="s">
        <v>61</v>
      </c>
      <c r="C2" s="21">
        <v>78</v>
      </c>
      <c r="D2" s="21">
        <v>82</v>
      </c>
      <c r="E2" s="21">
        <v>74</v>
      </c>
      <c r="F2" s="21">
        <f>SUM(C2:E2)</f>
        <v>234</v>
      </c>
      <c r="G2" s="22">
        <f>F2/300</f>
        <v>0.78</v>
      </c>
    </row>
    <row r="3" spans="1:7" x14ac:dyDescent="0.25">
      <c r="A3" s="21">
        <v>2</v>
      </c>
      <c r="B3" s="21" t="s">
        <v>62</v>
      </c>
      <c r="C3" s="21">
        <v>65</v>
      </c>
      <c r="D3" s="21">
        <v>70</v>
      </c>
      <c r="E3" s="21">
        <v>68</v>
      </c>
      <c r="F3" s="21">
        <f>SUM(C3:E3)</f>
        <v>203</v>
      </c>
      <c r="G3" s="22">
        <f t="shared" ref="G3:G21" si="0">F3/300</f>
        <v>0.67666666666666664</v>
      </c>
    </row>
    <row r="4" spans="1:7" x14ac:dyDescent="0.25">
      <c r="A4" s="21">
        <v>3</v>
      </c>
      <c r="B4" s="21" t="s">
        <v>63</v>
      </c>
      <c r="C4" s="21">
        <v>90</v>
      </c>
      <c r="D4" s="21">
        <v>88</v>
      </c>
      <c r="E4" s="21">
        <v>92</v>
      </c>
      <c r="F4" s="21">
        <f>SUM(C4:E4)</f>
        <v>270</v>
      </c>
      <c r="G4" s="22">
        <f t="shared" si="0"/>
        <v>0.9</v>
      </c>
    </row>
    <row r="5" spans="1:7" x14ac:dyDescent="0.25">
      <c r="A5" s="21">
        <v>4</v>
      </c>
      <c r="B5" s="21" t="s">
        <v>64</v>
      </c>
      <c r="C5" s="21">
        <v>35</v>
      </c>
      <c r="D5" s="21">
        <v>40</v>
      </c>
      <c r="E5" s="21">
        <v>38</v>
      </c>
      <c r="F5" s="21">
        <f>SUM(C5:E5)</f>
        <v>113</v>
      </c>
      <c r="G5" s="22">
        <f t="shared" si="0"/>
        <v>0.37666666666666665</v>
      </c>
    </row>
    <row r="6" spans="1:7" x14ac:dyDescent="0.25">
      <c r="A6" s="21">
        <v>5</v>
      </c>
      <c r="B6" s="21" t="s">
        <v>65</v>
      </c>
      <c r="C6" s="21">
        <v>55</v>
      </c>
      <c r="D6" s="21">
        <v>60</v>
      </c>
      <c r="E6" s="21">
        <v>58</v>
      </c>
      <c r="F6" s="21">
        <f>SUM(C6:E6)</f>
        <v>173</v>
      </c>
      <c r="G6" s="22">
        <f t="shared" si="0"/>
        <v>0.57666666666666666</v>
      </c>
    </row>
    <row r="7" spans="1:7" x14ac:dyDescent="0.25">
      <c r="A7" s="21">
        <v>6</v>
      </c>
      <c r="B7" s="21" t="s">
        <v>61</v>
      </c>
      <c r="C7" s="21">
        <v>78</v>
      </c>
      <c r="D7" s="21">
        <v>82</v>
      </c>
      <c r="E7" s="21">
        <v>74</v>
      </c>
      <c r="F7" s="21">
        <f t="shared" ref="F7:F21" si="1">SUM(C7:E7)</f>
        <v>234</v>
      </c>
      <c r="G7" s="22">
        <f t="shared" si="0"/>
        <v>0.78</v>
      </c>
    </row>
    <row r="8" spans="1:7" x14ac:dyDescent="0.25">
      <c r="A8" s="21">
        <v>7</v>
      </c>
      <c r="B8" s="21" t="s">
        <v>62</v>
      </c>
      <c r="C8" s="21">
        <v>65</v>
      </c>
      <c r="D8" s="21">
        <v>70</v>
      </c>
      <c r="E8" s="21">
        <v>68</v>
      </c>
      <c r="F8" s="21">
        <f t="shared" si="1"/>
        <v>203</v>
      </c>
      <c r="G8" s="22">
        <f t="shared" si="0"/>
        <v>0.67666666666666664</v>
      </c>
    </row>
    <row r="9" spans="1:7" x14ac:dyDescent="0.25">
      <c r="A9" s="21">
        <v>8</v>
      </c>
      <c r="B9" s="21" t="s">
        <v>63</v>
      </c>
      <c r="C9" s="21">
        <v>90</v>
      </c>
      <c r="D9" s="21">
        <v>88</v>
      </c>
      <c r="E9" s="21">
        <v>92</v>
      </c>
      <c r="F9" s="21">
        <f t="shared" si="1"/>
        <v>270</v>
      </c>
      <c r="G9" s="22">
        <f t="shared" si="0"/>
        <v>0.9</v>
      </c>
    </row>
    <row r="10" spans="1:7" x14ac:dyDescent="0.25">
      <c r="A10" s="21">
        <v>9</v>
      </c>
      <c r="B10" s="21" t="s">
        <v>64</v>
      </c>
      <c r="C10" s="21">
        <v>35</v>
      </c>
      <c r="D10" s="21">
        <v>40</v>
      </c>
      <c r="E10" s="21">
        <v>38</v>
      </c>
      <c r="F10" s="21">
        <f t="shared" si="1"/>
        <v>113</v>
      </c>
      <c r="G10" s="22">
        <f t="shared" si="0"/>
        <v>0.37666666666666665</v>
      </c>
    </row>
    <row r="11" spans="1:7" x14ac:dyDescent="0.25">
      <c r="A11" s="21">
        <v>10</v>
      </c>
      <c r="B11" s="21" t="s">
        <v>65</v>
      </c>
      <c r="C11" s="21">
        <v>55</v>
      </c>
      <c r="D11" s="21">
        <v>60</v>
      </c>
      <c r="E11" s="21">
        <v>58</v>
      </c>
      <c r="F11" s="21">
        <f t="shared" si="1"/>
        <v>173</v>
      </c>
      <c r="G11" s="22">
        <f t="shared" si="0"/>
        <v>0.57666666666666666</v>
      </c>
    </row>
    <row r="12" spans="1:7" x14ac:dyDescent="0.25">
      <c r="A12" s="21">
        <v>11</v>
      </c>
      <c r="B12" s="21" t="s">
        <v>61</v>
      </c>
      <c r="C12" s="21">
        <v>78</v>
      </c>
      <c r="D12" s="21">
        <v>82</v>
      </c>
      <c r="E12" s="21">
        <v>74</v>
      </c>
      <c r="F12" s="21">
        <f t="shared" si="1"/>
        <v>234</v>
      </c>
      <c r="G12" s="22">
        <f t="shared" si="0"/>
        <v>0.78</v>
      </c>
    </row>
    <row r="13" spans="1:7" x14ac:dyDescent="0.25">
      <c r="A13" s="21">
        <v>12</v>
      </c>
      <c r="B13" s="21" t="s">
        <v>62</v>
      </c>
      <c r="C13" s="21">
        <v>65</v>
      </c>
      <c r="D13" s="21">
        <v>70</v>
      </c>
      <c r="E13" s="21">
        <v>68</v>
      </c>
      <c r="F13" s="21">
        <f t="shared" si="1"/>
        <v>203</v>
      </c>
      <c r="G13" s="22">
        <f t="shared" si="0"/>
        <v>0.67666666666666664</v>
      </c>
    </row>
    <row r="14" spans="1:7" x14ac:dyDescent="0.25">
      <c r="A14" s="21">
        <v>13</v>
      </c>
      <c r="B14" s="21" t="s">
        <v>63</v>
      </c>
      <c r="C14" s="21">
        <v>90</v>
      </c>
      <c r="D14" s="21">
        <v>88</v>
      </c>
      <c r="E14" s="21">
        <v>92</v>
      </c>
      <c r="F14" s="21">
        <f t="shared" si="1"/>
        <v>270</v>
      </c>
      <c r="G14" s="22">
        <f t="shared" si="0"/>
        <v>0.9</v>
      </c>
    </row>
    <row r="15" spans="1:7" x14ac:dyDescent="0.25">
      <c r="A15" s="21">
        <v>14</v>
      </c>
      <c r="B15" s="21" t="s">
        <v>64</v>
      </c>
      <c r="C15" s="21">
        <v>35</v>
      </c>
      <c r="D15" s="21">
        <v>40</v>
      </c>
      <c r="E15" s="21">
        <v>38</v>
      </c>
      <c r="F15" s="21">
        <f t="shared" si="1"/>
        <v>113</v>
      </c>
      <c r="G15" s="22">
        <f t="shared" si="0"/>
        <v>0.37666666666666665</v>
      </c>
    </row>
    <row r="16" spans="1:7" x14ac:dyDescent="0.25">
      <c r="A16" s="21">
        <v>15</v>
      </c>
      <c r="B16" s="21" t="s">
        <v>65</v>
      </c>
      <c r="C16" s="21">
        <v>55</v>
      </c>
      <c r="D16" s="21">
        <v>60</v>
      </c>
      <c r="E16" s="21">
        <v>58</v>
      </c>
      <c r="F16" s="21">
        <f t="shared" si="1"/>
        <v>173</v>
      </c>
      <c r="G16" s="22">
        <f t="shared" si="0"/>
        <v>0.57666666666666666</v>
      </c>
    </row>
    <row r="17" spans="1:7" x14ac:dyDescent="0.25">
      <c r="A17" s="21">
        <v>16</v>
      </c>
      <c r="B17" s="21" t="s">
        <v>61</v>
      </c>
      <c r="C17" s="21">
        <v>78</v>
      </c>
      <c r="D17" s="21">
        <v>82</v>
      </c>
      <c r="E17" s="21">
        <v>74</v>
      </c>
      <c r="F17" s="21">
        <f t="shared" si="1"/>
        <v>234</v>
      </c>
      <c r="G17" s="22">
        <f t="shared" si="0"/>
        <v>0.78</v>
      </c>
    </row>
    <row r="18" spans="1:7" x14ac:dyDescent="0.25">
      <c r="A18" s="21">
        <v>17</v>
      </c>
      <c r="B18" s="21" t="s">
        <v>62</v>
      </c>
      <c r="C18" s="21">
        <v>65</v>
      </c>
      <c r="D18" s="21">
        <v>70</v>
      </c>
      <c r="E18" s="21">
        <v>68</v>
      </c>
      <c r="F18" s="21">
        <f t="shared" si="1"/>
        <v>203</v>
      </c>
      <c r="G18" s="22">
        <f t="shared" si="0"/>
        <v>0.67666666666666664</v>
      </c>
    </row>
    <row r="19" spans="1:7" x14ac:dyDescent="0.25">
      <c r="A19" s="21">
        <v>18</v>
      </c>
      <c r="B19" s="21" t="s">
        <v>63</v>
      </c>
      <c r="C19" s="21">
        <v>90</v>
      </c>
      <c r="D19" s="21">
        <v>88</v>
      </c>
      <c r="E19" s="21">
        <v>92</v>
      </c>
      <c r="F19" s="21">
        <f t="shared" si="1"/>
        <v>270</v>
      </c>
      <c r="G19" s="22">
        <f t="shared" si="0"/>
        <v>0.9</v>
      </c>
    </row>
    <row r="20" spans="1:7" x14ac:dyDescent="0.25">
      <c r="A20" s="21">
        <v>19</v>
      </c>
      <c r="B20" s="21" t="s">
        <v>64</v>
      </c>
      <c r="C20" s="21">
        <v>35</v>
      </c>
      <c r="D20" s="21">
        <v>40</v>
      </c>
      <c r="E20" s="21">
        <v>38</v>
      </c>
      <c r="F20" s="21">
        <f t="shared" si="1"/>
        <v>113</v>
      </c>
      <c r="G20" s="22">
        <f t="shared" si="0"/>
        <v>0.37666666666666665</v>
      </c>
    </row>
    <row r="21" spans="1:7" x14ac:dyDescent="0.25">
      <c r="A21" s="21">
        <v>20</v>
      </c>
      <c r="B21" s="21" t="s">
        <v>65</v>
      </c>
      <c r="C21" s="21">
        <v>55</v>
      </c>
      <c r="D21" s="21">
        <v>60</v>
      </c>
      <c r="E21" s="21">
        <v>58</v>
      </c>
      <c r="F21" s="21">
        <f t="shared" si="1"/>
        <v>173</v>
      </c>
      <c r="G21" s="22">
        <f t="shared" si="0"/>
        <v>0.57666666666666666</v>
      </c>
    </row>
    <row r="22" spans="1:7" ht="18" thickBot="1" x14ac:dyDescent="0.3">
      <c r="C22" s="17"/>
    </row>
    <row r="23" spans="1:7" ht="18" thickBot="1" x14ac:dyDescent="0.3">
      <c r="C23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B70A-86B2-457F-A584-165C47748FEA}">
  <dimension ref="A1:C26"/>
  <sheetViews>
    <sheetView topLeftCell="A12" workbookViewId="0">
      <selection activeCell="D27" sqref="D27"/>
    </sheetView>
  </sheetViews>
  <sheetFormatPr defaultRowHeight="15" x14ac:dyDescent="0.25"/>
  <cols>
    <col min="1" max="1" width="14.42578125" customWidth="1"/>
    <col min="2" max="2" width="19.7109375" customWidth="1"/>
    <col min="3" max="3" width="17.85546875" customWidth="1"/>
  </cols>
  <sheetData>
    <row r="1" spans="1:3" ht="17.25" x14ac:dyDescent="0.25">
      <c r="A1" s="18" t="s">
        <v>67</v>
      </c>
      <c r="B1" s="18" t="s">
        <v>68</v>
      </c>
      <c r="C1" s="18" t="s">
        <v>37</v>
      </c>
    </row>
    <row r="2" spans="1:3" ht="17.25" x14ac:dyDescent="0.25">
      <c r="A2" s="19" t="s">
        <v>69</v>
      </c>
      <c r="B2" s="25">
        <v>45292</v>
      </c>
      <c r="C2" s="19">
        <v>12000</v>
      </c>
    </row>
    <row r="3" spans="1:3" ht="17.25" x14ac:dyDescent="0.25">
      <c r="A3" s="20" t="s">
        <v>70</v>
      </c>
      <c r="B3" s="26">
        <v>45294</v>
      </c>
      <c r="C3" s="20">
        <v>25000</v>
      </c>
    </row>
    <row r="4" spans="1:3" ht="17.25" x14ac:dyDescent="0.25">
      <c r="A4" s="19" t="s">
        <v>71</v>
      </c>
      <c r="B4" s="25">
        <v>45296</v>
      </c>
      <c r="C4" s="19">
        <v>8000</v>
      </c>
    </row>
    <row r="5" spans="1:3" ht="17.25" x14ac:dyDescent="0.25">
      <c r="A5" s="20" t="s">
        <v>72</v>
      </c>
      <c r="B5" s="26">
        <v>45299</v>
      </c>
      <c r="C5" s="20">
        <v>32000</v>
      </c>
    </row>
    <row r="6" spans="1:3" ht="17.25" x14ac:dyDescent="0.25">
      <c r="A6" s="19" t="s">
        <v>73</v>
      </c>
      <c r="B6" s="25">
        <v>45301</v>
      </c>
      <c r="C6" s="19">
        <v>15000</v>
      </c>
    </row>
    <row r="7" spans="1:3" ht="17.25" x14ac:dyDescent="0.25">
      <c r="A7" s="19" t="s">
        <v>74</v>
      </c>
      <c r="B7" s="25">
        <v>45292</v>
      </c>
      <c r="C7" s="19">
        <v>22300</v>
      </c>
    </row>
    <row r="8" spans="1:3" ht="17.25" x14ac:dyDescent="0.25">
      <c r="A8" s="20" t="s">
        <v>75</v>
      </c>
      <c r="B8" s="26">
        <v>45294</v>
      </c>
      <c r="C8" s="20">
        <v>23600</v>
      </c>
    </row>
    <row r="9" spans="1:3" ht="17.25" x14ac:dyDescent="0.25">
      <c r="A9" s="19" t="s">
        <v>76</v>
      </c>
      <c r="B9" s="25">
        <v>45296</v>
      </c>
      <c r="C9" s="19">
        <v>24900</v>
      </c>
    </row>
    <row r="10" spans="1:3" ht="17.25" x14ac:dyDescent="0.25">
      <c r="A10" s="20" t="s">
        <v>77</v>
      </c>
      <c r="B10" s="26">
        <v>45299</v>
      </c>
      <c r="C10" s="20">
        <v>26200</v>
      </c>
    </row>
    <row r="11" spans="1:3" ht="17.25" x14ac:dyDescent="0.25">
      <c r="A11" s="19" t="s">
        <v>78</v>
      </c>
      <c r="B11" s="25">
        <v>45301</v>
      </c>
      <c r="C11" s="19">
        <v>27500</v>
      </c>
    </row>
    <row r="12" spans="1:3" ht="17.25" x14ac:dyDescent="0.25">
      <c r="A12" s="19" t="s">
        <v>79</v>
      </c>
      <c r="B12" s="25">
        <v>45292</v>
      </c>
      <c r="C12" s="19">
        <v>28800</v>
      </c>
    </row>
    <row r="13" spans="1:3" ht="17.25" x14ac:dyDescent="0.25">
      <c r="A13" s="20" t="s">
        <v>80</v>
      </c>
      <c r="B13" s="26">
        <v>45294</v>
      </c>
      <c r="C13" s="20">
        <v>30100</v>
      </c>
    </row>
    <row r="14" spans="1:3" ht="17.25" x14ac:dyDescent="0.25">
      <c r="A14" s="19" t="s">
        <v>81</v>
      </c>
      <c r="B14" s="25">
        <v>45296</v>
      </c>
      <c r="C14" s="19">
        <v>31400</v>
      </c>
    </row>
    <row r="15" spans="1:3" ht="17.25" x14ac:dyDescent="0.25">
      <c r="A15" s="20" t="s">
        <v>82</v>
      </c>
      <c r="B15" s="26">
        <v>45299</v>
      </c>
      <c r="C15" s="20">
        <v>32700</v>
      </c>
    </row>
    <row r="16" spans="1:3" ht="17.25" x14ac:dyDescent="0.25">
      <c r="A16" s="19" t="s">
        <v>83</v>
      </c>
      <c r="B16" s="25">
        <v>45301</v>
      </c>
      <c r="C16" s="19">
        <v>34000</v>
      </c>
    </row>
    <row r="17" spans="1:3" ht="17.25" x14ac:dyDescent="0.25">
      <c r="A17" s="19" t="s">
        <v>84</v>
      </c>
      <c r="B17" s="25">
        <v>45292</v>
      </c>
      <c r="C17" s="19">
        <v>35300</v>
      </c>
    </row>
    <row r="18" spans="1:3" ht="17.25" x14ac:dyDescent="0.25">
      <c r="A18" s="20" t="s">
        <v>85</v>
      </c>
      <c r="B18" s="26">
        <v>45294</v>
      </c>
      <c r="C18" s="20">
        <v>36600</v>
      </c>
    </row>
    <row r="19" spans="1:3" ht="17.25" x14ac:dyDescent="0.25">
      <c r="A19" s="19" t="s">
        <v>86</v>
      </c>
      <c r="B19" s="25">
        <v>45296</v>
      </c>
      <c r="C19" s="19">
        <v>37900</v>
      </c>
    </row>
    <row r="20" spans="1:3" ht="17.25" x14ac:dyDescent="0.25">
      <c r="A20" s="20" t="s">
        <v>87</v>
      </c>
      <c r="B20" s="26">
        <v>45299</v>
      </c>
      <c r="C20" s="20">
        <v>39200</v>
      </c>
    </row>
    <row r="21" spans="1:3" ht="17.25" x14ac:dyDescent="0.25">
      <c r="A21" s="19" t="s">
        <v>88</v>
      </c>
      <c r="B21" s="25">
        <v>45301</v>
      </c>
      <c r="C21" s="19">
        <v>40500</v>
      </c>
    </row>
    <row r="22" spans="1:3" ht="34.5" customHeight="1" x14ac:dyDescent="0.25">
      <c r="A22" s="27" t="s">
        <v>89</v>
      </c>
      <c r="B22" s="27"/>
      <c r="C22" s="27"/>
    </row>
    <row r="23" spans="1:3" x14ac:dyDescent="0.25">
      <c r="A23" s="1" t="s">
        <v>92</v>
      </c>
      <c r="B23" s="1">
        <f>AVERAGE(C2:C21)</f>
        <v>28150</v>
      </c>
      <c r="C23" s="1"/>
    </row>
    <row r="24" spans="1:3" x14ac:dyDescent="0.25">
      <c r="A24" s="1" t="s">
        <v>90</v>
      </c>
      <c r="B24" s="1">
        <f>MAX(C2:C21)</f>
        <v>40500</v>
      </c>
      <c r="C24" s="1"/>
    </row>
    <row r="25" spans="1:3" x14ac:dyDescent="0.25">
      <c r="A25" s="1" t="s">
        <v>91</v>
      </c>
      <c r="B25" s="1">
        <f>MIN(C2:C21)</f>
        <v>8000</v>
      </c>
      <c r="C25" s="1"/>
    </row>
    <row r="26" spans="1:3" x14ac:dyDescent="0.25">
      <c r="A26" s="1"/>
      <c r="B26" s="1"/>
      <c r="C26" s="1"/>
    </row>
  </sheetData>
  <mergeCells count="1">
    <mergeCell ref="A22:C2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8524-F11B-4420-8CE6-562E6EF025AE}">
  <dimension ref="A1:H23"/>
  <sheetViews>
    <sheetView topLeftCell="A6" workbookViewId="0">
      <selection activeCell="G14" sqref="G14"/>
    </sheetView>
  </sheetViews>
  <sheetFormatPr defaultRowHeight="15" x14ac:dyDescent="0.25"/>
  <cols>
    <col min="1" max="1" width="17.28515625" customWidth="1"/>
    <col min="2" max="2" width="17.140625" customWidth="1"/>
    <col min="3" max="3" width="14" customWidth="1"/>
    <col min="7" max="7" width="24.42578125" customWidth="1"/>
    <col min="8" max="8" width="11.42578125" customWidth="1"/>
  </cols>
  <sheetData>
    <row r="1" spans="1:8" ht="52.5" thickBot="1" x14ac:dyDescent="0.3">
      <c r="A1" s="14" t="s">
        <v>93</v>
      </c>
      <c r="B1" s="14" t="s">
        <v>94</v>
      </c>
      <c r="C1" s="14" t="s">
        <v>95</v>
      </c>
    </row>
    <row r="2" spans="1:8" ht="18" thickBot="1" x14ac:dyDescent="0.3">
      <c r="A2" s="15" t="s">
        <v>96</v>
      </c>
      <c r="B2" s="15" t="s">
        <v>30</v>
      </c>
      <c r="C2" s="15">
        <v>28000</v>
      </c>
    </row>
    <row r="3" spans="1:8" ht="35.25" thickBot="1" x14ac:dyDescent="0.3">
      <c r="A3" s="16" t="s">
        <v>97</v>
      </c>
      <c r="B3" s="16" t="s">
        <v>31</v>
      </c>
      <c r="C3" s="16">
        <v>45000</v>
      </c>
    </row>
    <row r="4" spans="1:8" ht="18" thickBot="1" x14ac:dyDescent="0.3">
      <c r="A4" s="15" t="s">
        <v>98</v>
      </c>
      <c r="B4" s="15" t="s">
        <v>31</v>
      </c>
      <c r="C4" s="15">
        <v>50000</v>
      </c>
      <c r="G4" s="28" t="s">
        <v>102</v>
      </c>
      <c r="H4" s="28">
        <f>SUMIF(B2:B21,B2,C2:C21)</f>
        <v>202000</v>
      </c>
    </row>
    <row r="5" spans="1:8" ht="21.75" customHeight="1" thickBot="1" x14ac:dyDescent="0.3">
      <c r="A5" s="16" t="s">
        <v>99</v>
      </c>
      <c r="B5" s="16" t="s">
        <v>32</v>
      </c>
      <c r="C5" s="16">
        <v>42000</v>
      </c>
      <c r="G5" s="28" t="s">
        <v>103</v>
      </c>
      <c r="H5" s="28">
        <f>SUMIF(B2:B21,B3,C2:C21)</f>
        <v>330000</v>
      </c>
    </row>
    <row r="6" spans="1:8" ht="18" thickBot="1" x14ac:dyDescent="0.3">
      <c r="A6" s="15" t="s">
        <v>100</v>
      </c>
      <c r="B6" s="15" t="s">
        <v>30</v>
      </c>
      <c r="C6" s="15">
        <v>30000</v>
      </c>
      <c r="G6" s="28" t="s">
        <v>104</v>
      </c>
      <c r="H6" s="28">
        <f>SUMIF(B2:B21,B5,C2:C21)</f>
        <v>240000</v>
      </c>
    </row>
    <row r="7" spans="1:8" ht="18" thickBot="1" x14ac:dyDescent="0.3">
      <c r="A7" s="16" t="s">
        <v>101</v>
      </c>
      <c r="B7" s="16" t="s">
        <v>32</v>
      </c>
      <c r="C7" s="16">
        <v>38000</v>
      </c>
    </row>
    <row r="8" spans="1:8" ht="18" thickBot="1" x14ac:dyDescent="0.3">
      <c r="A8" s="15" t="s">
        <v>96</v>
      </c>
      <c r="B8" s="15" t="s">
        <v>30</v>
      </c>
      <c r="C8" s="15">
        <v>28000</v>
      </c>
      <c r="G8" s="28" t="s">
        <v>105</v>
      </c>
      <c r="H8" s="28">
        <f>AVERAGE(C2:C21)</f>
        <v>38600</v>
      </c>
    </row>
    <row r="9" spans="1:8" ht="18" thickBot="1" x14ac:dyDescent="0.3">
      <c r="A9" s="16" t="s">
        <v>97</v>
      </c>
      <c r="B9" s="16" t="s">
        <v>31</v>
      </c>
      <c r="C9" s="16">
        <v>45000</v>
      </c>
      <c r="G9" s="28" t="s">
        <v>106</v>
      </c>
      <c r="H9" s="28">
        <f>COUNTA(A2:A21)</f>
        <v>20</v>
      </c>
    </row>
    <row r="10" spans="1:8" ht="18" thickBot="1" x14ac:dyDescent="0.3">
      <c r="A10" s="15" t="s">
        <v>98</v>
      </c>
      <c r="B10" s="15" t="s">
        <v>31</v>
      </c>
      <c r="C10" s="15">
        <v>50000</v>
      </c>
    </row>
    <row r="11" spans="1:8" ht="18" thickBot="1" x14ac:dyDescent="0.3">
      <c r="A11" s="16" t="s">
        <v>99</v>
      </c>
      <c r="B11" s="16" t="s">
        <v>32</v>
      </c>
      <c r="C11" s="16">
        <v>42000</v>
      </c>
    </row>
    <row r="12" spans="1:8" ht="18" thickBot="1" x14ac:dyDescent="0.3">
      <c r="A12" s="15" t="s">
        <v>100</v>
      </c>
      <c r="B12" s="15" t="s">
        <v>30</v>
      </c>
      <c r="C12" s="15">
        <v>30000</v>
      </c>
    </row>
    <row r="13" spans="1:8" ht="18" thickBot="1" x14ac:dyDescent="0.3">
      <c r="A13" s="16" t="s">
        <v>101</v>
      </c>
      <c r="B13" s="16" t="s">
        <v>32</v>
      </c>
      <c r="C13" s="16">
        <v>38000</v>
      </c>
    </row>
    <row r="14" spans="1:8" ht="18" thickBot="1" x14ac:dyDescent="0.3">
      <c r="A14" s="15" t="s">
        <v>96</v>
      </c>
      <c r="B14" s="15" t="s">
        <v>30</v>
      </c>
      <c r="C14" s="15">
        <v>28000</v>
      </c>
    </row>
    <row r="15" spans="1:8" ht="18" thickBot="1" x14ac:dyDescent="0.3">
      <c r="A15" s="16" t="s">
        <v>97</v>
      </c>
      <c r="B15" s="16" t="s">
        <v>31</v>
      </c>
      <c r="C15" s="16">
        <v>45000</v>
      </c>
    </row>
    <row r="16" spans="1:8" ht="18" thickBot="1" x14ac:dyDescent="0.3">
      <c r="A16" s="15" t="s">
        <v>98</v>
      </c>
      <c r="B16" s="15" t="s">
        <v>31</v>
      </c>
      <c r="C16" s="15">
        <v>50000</v>
      </c>
    </row>
    <row r="17" spans="1:3" ht="18" thickBot="1" x14ac:dyDescent="0.3">
      <c r="A17" s="16" t="s">
        <v>99</v>
      </c>
      <c r="B17" s="16" t="s">
        <v>32</v>
      </c>
      <c r="C17" s="16">
        <v>42000</v>
      </c>
    </row>
    <row r="18" spans="1:3" ht="18" thickBot="1" x14ac:dyDescent="0.3">
      <c r="A18" s="15" t="s">
        <v>100</v>
      </c>
      <c r="B18" s="15" t="s">
        <v>30</v>
      </c>
      <c r="C18" s="15">
        <v>30000</v>
      </c>
    </row>
    <row r="19" spans="1:3" ht="18" thickBot="1" x14ac:dyDescent="0.3">
      <c r="A19" s="16" t="s">
        <v>101</v>
      </c>
      <c r="B19" s="16" t="s">
        <v>32</v>
      </c>
      <c r="C19" s="16">
        <v>38000</v>
      </c>
    </row>
    <row r="20" spans="1:3" ht="18" thickBot="1" x14ac:dyDescent="0.3">
      <c r="A20" s="15" t="s">
        <v>96</v>
      </c>
      <c r="B20" s="15" t="s">
        <v>30</v>
      </c>
      <c r="C20" s="15">
        <v>28000</v>
      </c>
    </row>
    <row r="21" spans="1:3" ht="18" thickBot="1" x14ac:dyDescent="0.3">
      <c r="A21" s="16" t="s">
        <v>97</v>
      </c>
      <c r="B21" s="16" t="s">
        <v>31</v>
      </c>
      <c r="C21" s="16">
        <v>45000</v>
      </c>
    </row>
    <row r="22" spans="1:3" ht="18" thickBot="1" x14ac:dyDescent="0.3">
      <c r="C22" s="15"/>
    </row>
    <row r="23" spans="1:3" ht="18" thickBot="1" x14ac:dyDescent="0.3">
      <c r="C23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88CC-88E6-44EA-BD9F-EFF58C402C70}">
  <dimension ref="A1:H23"/>
  <sheetViews>
    <sheetView tabSelected="1" workbookViewId="0">
      <selection activeCell="H7" sqref="H7"/>
    </sheetView>
  </sheetViews>
  <sheetFormatPr defaultRowHeight="15" x14ac:dyDescent="0.25"/>
  <cols>
    <col min="1" max="1" width="13.7109375" customWidth="1"/>
    <col min="2" max="2" width="9.28515625" customWidth="1"/>
    <col min="3" max="3" width="9.85546875" customWidth="1"/>
    <col min="4" max="4" width="8.7109375" customWidth="1"/>
    <col min="5" max="5" width="8.85546875" customWidth="1"/>
    <col min="6" max="6" width="10" customWidth="1"/>
    <col min="8" max="8" width="27.7109375" customWidth="1"/>
  </cols>
  <sheetData>
    <row r="1" spans="1:8" ht="34.5" x14ac:dyDescent="0.25">
      <c r="A1" s="33" t="s">
        <v>56</v>
      </c>
      <c r="B1" s="33" t="s">
        <v>107</v>
      </c>
      <c r="C1" s="33" t="s">
        <v>108</v>
      </c>
      <c r="D1" s="33" t="s">
        <v>109</v>
      </c>
      <c r="E1" s="33" t="s">
        <v>110</v>
      </c>
      <c r="F1" s="33" t="s">
        <v>111</v>
      </c>
    </row>
    <row r="2" spans="1:8" ht="22.5" customHeight="1" x14ac:dyDescent="0.25">
      <c r="A2" s="34" t="s">
        <v>61</v>
      </c>
      <c r="B2" s="34" t="s">
        <v>112</v>
      </c>
      <c r="C2" s="34" t="s">
        <v>113</v>
      </c>
      <c r="D2" s="34" t="s">
        <v>112</v>
      </c>
      <c r="E2" s="34" t="s">
        <v>112</v>
      </c>
      <c r="F2" s="34" t="s">
        <v>112</v>
      </c>
      <c r="H2" s="29"/>
    </row>
    <row r="3" spans="1:8" ht="17.25" x14ac:dyDescent="0.25">
      <c r="A3" s="34" t="s">
        <v>62</v>
      </c>
      <c r="B3" s="34" t="s">
        <v>112</v>
      </c>
      <c r="C3" s="34" t="s">
        <v>112</v>
      </c>
      <c r="D3" s="34" t="s">
        <v>112</v>
      </c>
      <c r="E3" s="34" t="s">
        <v>113</v>
      </c>
      <c r="F3" s="34" t="s">
        <v>112</v>
      </c>
    </row>
    <row r="4" spans="1:8" ht="17.25" x14ac:dyDescent="0.25">
      <c r="A4" s="34" t="s">
        <v>63</v>
      </c>
      <c r="B4" s="34" t="s">
        <v>113</v>
      </c>
      <c r="C4" s="34" t="s">
        <v>112</v>
      </c>
      <c r="D4" s="34" t="s">
        <v>112</v>
      </c>
      <c r="E4" s="34" t="s">
        <v>112</v>
      </c>
      <c r="F4" s="34" t="s">
        <v>112</v>
      </c>
    </row>
    <row r="5" spans="1:8" ht="17.25" x14ac:dyDescent="0.25">
      <c r="A5" s="34" t="s">
        <v>64</v>
      </c>
      <c r="B5" s="34" t="s">
        <v>112</v>
      </c>
      <c r="C5" s="34" t="s">
        <v>113</v>
      </c>
      <c r="D5" s="34" t="s">
        <v>113</v>
      </c>
      <c r="E5" s="34" t="s">
        <v>112</v>
      </c>
      <c r="F5" s="34" t="s">
        <v>113</v>
      </c>
    </row>
    <row r="6" spans="1:8" ht="17.25" x14ac:dyDescent="0.25">
      <c r="A6" s="34" t="s">
        <v>61</v>
      </c>
      <c r="B6" s="34" t="s">
        <v>112</v>
      </c>
      <c r="C6" s="34" t="s">
        <v>113</v>
      </c>
      <c r="D6" s="34" t="s">
        <v>112</v>
      </c>
      <c r="E6" s="34" t="s">
        <v>112</v>
      </c>
      <c r="F6" s="34" t="s">
        <v>112</v>
      </c>
    </row>
    <row r="7" spans="1:8" ht="17.25" x14ac:dyDescent="0.25">
      <c r="A7" s="34" t="s">
        <v>62</v>
      </c>
      <c r="B7" s="34" t="s">
        <v>112</v>
      </c>
      <c r="C7" s="34" t="s">
        <v>112</v>
      </c>
      <c r="D7" s="34" t="s">
        <v>112</v>
      </c>
      <c r="E7" s="34" t="s">
        <v>113</v>
      </c>
      <c r="F7" s="34" t="s">
        <v>112</v>
      </c>
    </row>
    <row r="8" spans="1:8" ht="17.25" x14ac:dyDescent="0.25">
      <c r="A8" s="34" t="s">
        <v>63</v>
      </c>
      <c r="B8" s="34" t="s">
        <v>113</v>
      </c>
      <c r="C8" s="34" t="s">
        <v>112</v>
      </c>
      <c r="D8" s="34" t="s">
        <v>112</v>
      </c>
      <c r="E8" s="34" t="s">
        <v>112</v>
      </c>
      <c r="F8" s="34" t="s">
        <v>112</v>
      </c>
    </row>
    <row r="9" spans="1:8" ht="17.25" x14ac:dyDescent="0.25">
      <c r="A9" s="34" t="s">
        <v>64</v>
      </c>
      <c r="B9" s="34" t="s">
        <v>112</v>
      </c>
      <c r="C9" s="34" t="s">
        <v>113</v>
      </c>
      <c r="D9" s="34" t="s">
        <v>113</v>
      </c>
      <c r="E9" s="34" t="s">
        <v>112</v>
      </c>
      <c r="F9" s="34" t="s">
        <v>113</v>
      </c>
    </row>
    <row r="10" spans="1:8" ht="17.25" x14ac:dyDescent="0.25">
      <c r="A10" s="34" t="s">
        <v>61</v>
      </c>
      <c r="B10" s="34" t="s">
        <v>112</v>
      </c>
      <c r="C10" s="34" t="s">
        <v>113</v>
      </c>
      <c r="D10" s="34" t="s">
        <v>112</v>
      </c>
      <c r="E10" s="34" t="s">
        <v>112</v>
      </c>
      <c r="F10" s="34" t="s">
        <v>112</v>
      </c>
    </row>
    <row r="11" spans="1:8" ht="17.25" x14ac:dyDescent="0.25">
      <c r="A11" s="34" t="s">
        <v>62</v>
      </c>
      <c r="B11" s="34" t="s">
        <v>112</v>
      </c>
      <c r="C11" s="34" t="s">
        <v>112</v>
      </c>
      <c r="D11" s="34" t="s">
        <v>112</v>
      </c>
      <c r="E11" s="34" t="s">
        <v>113</v>
      </c>
      <c r="F11" s="34" t="s">
        <v>112</v>
      </c>
    </row>
    <row r="12" spans="1:8" ht="17.25" x14ac:dyDescent="0.25">
      <c r="A12" s="34" t="s">
        <v>63</v>
      </c>
      <c r="B12" s="34" t="s">
        <v>113</v>
      </c>
      <c r="C12" s="34" t="s">
        <v>112</v>
      </c>
      <c r="D12" s="34" t="s">
        <v>112</v>
      </c>
      <c r="E12" s="34" t="s">
        <v>112</v>
      </c>
      <c r="F12" s="34" t="s">
        <v>112</v>
      </c>
    </row>
    <row r="13" spans="1:8" ht="17.25" x14ac:dyDescent="0.25">
      <c r="A13" s="34" t="s">
        <v>64</v>
      </c>
      <c r="B13" s="34" t="s">
        <v>112</v>
      </c>
      <c r="C13" s="34" t="s">
        <v>113</v>
      </c>
      <c r="D13" s="34" t="s">
        <v>112</v>
      </c>
      <c r="E13" s="34" t="s">
        <v>112</v>
      </c>
      <c r="F13" s="34" t="s">
        <v>113</v>
      </c>
    </row>
    <row r="14" spans="1:8" ht="17.25" x14ac:dyDescent="0.25">
      <c r="A14" s="34" t="s">
        <v>61</v>
      </c>
      <c r="B14" s="34" t="s">
        <v>112</v>
      </c>
      <c r="C14" s="34" t="s">
        <v>113</v>
      </c>
      <c r="D14" s="34" t="s">
        <v>112</v>
      </c>
      <c r="E14" s="34" t="s">
        <v>112</v>
      </c>
      <c r="F14" s="34" t="s">
        <v>112</v>
      </c>
    </row>
    <row r="15" spans="1:8" ht="17.25" x14ac:dyDescent="0.25">
      <c r="A15" s="34" t="s">
        <v>62</v>
      </c>
      <c r="B15" s="34" t="s">
        <v>112</v>
      </c>
      <c r="C15" s="34" t="s">
        <v>112</v>
      </c>
      <c r="D15" s="34" t="s">
        <v>113</v>
      </c>
      <c r="E15" s="34" t="s">
        <v>113</v>
      </c>
      <c r="F15" s="34" t="s">
        <v>112</v>
      </c>
    </row>
    <row r="16" spans="1:8" ht="17.25" x14ac:dyDescent="0.25">
      <c r="A16" s="34" t="s">
        <v>63</v>
      </c>
      <c r="B16" s="34" t="s">
        <v>113</v>
      </c>
      <c r="C16" s="34" t="s">
        <v>112</v>
      </c>
      <c r="D16" s="34" t="s">
        <v>112</v>
      </c>
      <c r="E16" s="34" t="s">
        <v>112</v>
      </c>
      <c r="F16" s="34" t="s">
        <v>112</v>
      </c>
    </row>
    <row r="17" spans="1:6" ht="17.25" x14ac:dyDescent="0.25">
      <c r="A17" s="34" t="s">
        <v>64</v>
      </c>
      <c r="B17" s="34" t="s">
        <v>112</v>
      </c>
      <c r="C17" s="34" t="s">
        <v>113</v>
      </c>
      <c r="D17" s="34" t="s">
        <v>112</v>
      </c>
      <c r="E17" s="34" t="s">
        <v>112</v>
      </c>
      <c r="F17" s="34" t="s">
        <v>113</v>
      </c>
    </row>
    <row r="18" spans="1:6" ht="17.25" x14ac:dyDescent="0.25">
      <c r="A18" s="34" t="s">
        <v>61</v>
      </c>
      <c r="B18" s="34" t="s">
        <v>112</v>
      </c>
      <c r="C18" s="34" t="s">
        <v>113</v>
      </c>
      <c r="D18" s="34" t="s">
        <v>112</v>
      </c>
      <c r="E18" s="34" t="s">
        <v>112</v>
      </c>
      <c r="F18" s="34" t="s">
        <v>112</v>
      </c>
    </row>
    <row r="19" spans="1:6" ht="17.25" x14ac:dyDescent="0.25">
      <c r="A19" s="34" t="s">
        <v>62</v>
      </c>
      <c r="B19" s="34" t="s">
        <v>112</v>
      </c>
      <c r="C19" s="34" t="s">
        <v>112</v>
      </c>
      <c r="D19" s="34" t="s">
        <v>113</v>
      </c>
      <c r="E19" s="34" t="s">
        <v>113</v>
      </c>
      <c r="F19" s="34" t="s">
        <v>112</v>
      </c>
    </row>
    <row r="20" spans="1:6" ht="17.25" x14ac:dyDescent="0.25">
      <c r="A20" s="34" t="s">
        <v>63</v>
      </c>
      <c r="B20" s="34" t="s">
        <v>113</v>
      </c>
      <c r="C20" s="34" t="s">
        <v>112</v>
      </c>
      <c r="D20" s="34" t="s">
        <v>112</v>
      </c>
      <c r="E20" s="34" t="s">
        <v>112</v>
      </c>
      <c r="F20" s="34" t="s">
        <v>112</v>
      </c>
    </row>
    <row r="21" spans="1:6" ht="17.25" x14ac:dyDescent="0.25">
      <c r="A21" s="34" t="s">
        <v>64</v>
      </c>
      <c r="B21" s="34" t="s">
        <v>112</v>
      </c>
      <c r="C21" s="34" t="s">
        <v>113</v>
      </c>
      <c r="D21" s="34" t="s">
        <v>112</v>
      </c>
      <c r="E21" s="34" t="s">
        <v>112</v>
      </c>
      <c r="F21" s="34" t="s">
        <v>113</v>
      </c>
    </row>
    <row r="22" spans="1:6" ht="28.5" x14ac:dyDescent="0.25">
      <c r="A22" s="30" t="s">
        <v>114</v>
      </c>
      <c r="B22" s="31">
        <f>COUNTIF(B2:B21,B2)</f>
        <v>15</v>
      </c>
      <c r="C22" s="31">
        <f>COUNTIF(C2:C21,C3)</f>
        <v>10</v>
      </c>
      <c r="D22" s="31">
        <f>COUNTIF(D2:D21,D2)</f>
        <v>16</v>
      </c>
      <c r="E22" s="31">
        <f>COUNTIF(E2:E21,E2)</f>
        <v>15</v>
      </c>
      <c r="F22" s="31">
        <f>COUNTIF(F2:F21,F2)</f>
        <v>15</v>
      </c>
    </row>
    <row r="23" spans="1:6" ht="30" x14ac:dyDescent="0.25">
      <c r="A23" s="32" t="s">
        <v>115</v>
      </c>
      <c r="B23" s="31">
        <f>COUNTIF(B2:B21,B4)</f>
        <v>5</v>
      </c>
      <c r="C23" s="31">
        <f>COUNTIF(C2:C21,C2)</f>
        <v>10</v>
      </c>
      <c r="D23" s="31">
        <f>COUNTIF(D2:D21,D5)</f>
        <v>4</v>
      </c>
      <c r="E23" s="31">
        <f>COUNTIF(E2:E21,E3)</f>
        <v>5</v>
      </c>
      <c r="F23" s="31">
        <f>COUNTIF(F2:F21,F5)</f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ASDC3</cp:lastModifiedBy>
  <dcterms:created xsi:type="dcterms:W3CDTF">2026-07-04T08:24:11Z</dcterms:created>
  <dcterms:modified xsi:type="dcterms:W3CDTF">2026-07-04T10:02:29Z</dcterms:modified>
</cp:coreProperties>
</file>