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NSHIKA\Downloads\"/>
    </mc:Choice>
  </mc:AlternateContent>
  <xr:revisionPtr revIDLastSave="0" documentId="13_ncr:1_{F49E9314-43C4-47A0-8095-4D5DA8993FB0}" xr6:coauthVersionLast="47" xr6:coauthVersionMax="47" xr10:uidLastSave="{00000000-0000-0000-0000-000000000000}"/>
  <bookViews>
    <workbookView xWindow="0" yWindow="360" windowWidth="23256" windowHeight="13896" xr2:uid="{CBA3C351-9A2F-4049-9811-196686691448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4" i="1" l="1"/>
  <c r="C155" i="1"/>
  <c r="C156" i="1"/>
  <c r="C157" i="1"/>
  <c r="C158" i="1"/>
  <c r="C153" i="1"/>
  <c r="D148" i="1"/>
  <c r="B134" i="1"/>
  <c r="B135" i="1"/>
  <c r="B136" i="1"/>
  <c r="B137" i="1"/>
  <c r="B138" i="1"/>
  <c r="B133" i="1"/>
  <c r="B125" i="1"/>
  <c r="B126" i="1"/>
  <c r="B127" i="1"/>
  <c r="B128" i="1"/>
  <c r="B124" i="1"/>
  <c r="C119" i="1"/>
  <c r="C117" i="1"/>
  <c r="C65" i="1"/>
  <c r="C66" i="1"/>
  <c r="C67" i="1"/>
  <c r="C68" i="1"/>
  <c r="C64" i="1"/>
  <c r="C61" i="1"/>
  <c r="C14" i="1"/>
  <c r="C54" i="1"/>
  <c r="C55" i="1"/>
  <c r="C56" i="1"/>
  <c r="C57" i="1"/>
  <c r="C53" i="1"/>
  <c r="C50" i="1"/>
  <c r="C46" i="1"/>
  <c r="C47" i="1"/>
  <c r="C48" i="1"/>
  <c r="C49" i="1"/>
  <c r="C45" i="1"/>
  <c r="B37" i="1"/>
  <c r="B38" i="1"/>
  <c r="B39" i="1"/>
  <c r="B40" i="1"/>
  <c r="B41" i="1"/>
  <c r="B42" i="1"/>
  <c r="B25" i="1"/>
  <c r="B26" i="1"/>
  <c r="B27" i="1"/>
  <c r="B28" i="1"/>
  <c r="B29" i="1"/>
  <c r="B24" i="1"/>
  <c r="H4" i="1"/>
  <c r="I4" i="1" s="1"/>
  <c r="J4" i="1" s="1"/>
  <c r="H6" i="1"/>
  <c r="I6" i="1" s="1"/>
  <c r="J6" i="1" s="1"/>
  <c r="H7" i="1"/>
  <c r="I7" i="1" s="1"/>
  <c r="J7" i="1" s="1"/>
  <c r="H5" i="1"/>
  <c r="I5" i="1" s="1"/>
  <c r="J5" i="1" s="1"/>
  <c r="H3" i="1"/>
  <c r="I3" i="1" s="1"/>
  <c r="J3" i="1" s="1"/>
  <c r="H2" i="1"/>
  <c r="I2" i="1" s="1"/>
  <c r="J2" i="1" s="1"/>
  <c r="B143" i="1" l="1" a="1"/>
  <c r="B143" i="1" s="1"/>
  <c r="C21" i="1"/>
  <c r="C20" i="1"/>
  <c r="C19" i="1"/>
  <c r="C59" i="1"/>
  <c r="C18" i="1"/>
  <c r="C11" i="1"/>
  <c r="C34" i="1"/>
  <c r="C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<sst xmlns="http://schemas.openxmlformats.org/spreadsheetml/2006/main" count="153" uniqueCount="91">
  <si>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</si>
  <si>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</si>
  <si>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</si>
  <si>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</si>
  <si>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</si>
  <si>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</si>
  <si>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</si>
  <si>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</si>
  <si>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</si>
  <si>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</si>
  <si>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</si>
  <si>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</si>
  <si>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</si>
  <si>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</si>
  <si>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</si>
  <si>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</si>
  <si>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</si>
  <si>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</si>
  <si>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</si>
  <si>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</si>
  <si>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</si>
  <si>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</si>
  <si>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</si>
  <si>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</si>
  <si>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Que 01</t>
  </si>
  <si>
    <t>Total Sales</t>
  </si>
  <si>
    <t>Category</t>
  </si>
  <si>
    <t>GST_%</t>
  </si>
  <si>
    <t>Electronics</t>
  </si>
  <si>
    <t>Que 02</t>
  </si>
  <si>
    <t>GST Amount</t>
  </si>
  <si>
    <t>Final Amount</t>
  </si>
  <si>
    <t>Que 04</t>
  </si>
  <si>
    <t>Que0 03</t>
  </si>
  <si>
    <t xml:space="preserve"> Grand Total</t>
  </si>
  <si>
    <t>Que 05</t>
  </si>
  <si>
    <t>Total no. of Orders</t>
  </si>
  <si>
    <t>Que 06</t>
  </si>
  <si>
    <t>Total sales</t>
  </si>
  <si>
    <t>Que 07</t>
  </si>
  <si>
    <t>Que 08</t>
  </si>
  <si>
    <t>Max</t>
  </si>
  <si>
    <t>Min</t>
  </si>
  <si>
    <t>Que 09</t>
  </si>
  <si>
    <t>Month Name</t>
  </si>
  <si>
    <t>Que 11</t>
  </si>
  <si>
    <t>Category Returned</t>
  </si>
  <si>
    <t>Que 12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</si>
  <si>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</si>
  <si>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</si>
  <si>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</si>
  <si>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</si>
  <si>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</si>
  <si>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</si>
  <si>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</si>
  <si>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</si>
  <si>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</si>
  <si>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</si>
  <si>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</si>
  <si>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Student</t>
  </si>
  <si>
    <t>Average Marks</t>
  </si>
  <si>
    <t>Que 13</t>
  </si>
  <si>
    <t>Topper</t>
  </si>
  <si>
    <t>Que 14</t>
  </si>
  <si>
    <t>Count Student Attendence Above 90%</t>
  </si>
  <si>
    <t>Que 15</t>
  </si>
  <si>
    <t>Status</t>
  </si>
  <si>
    <t>Que 16</t>
  </si>
  <si>
    <t>Row Labels</t>
  </si>
  <si>
    <t>Grand Total</t>
  </si>
  <si>
    <t>Sum of Total Sales</t>
  </si>
  <si>
    <t>Que 17</t>
  </si>
  <si>
    <t>Que 18</t>
  </si>
  <si>
    <t>Que 19</t>
  </si>
  <si>
    <t>Que 20</t>
  </si>
  <si>
    <t>Que 21</t>
  </si>
  <si>
    <t>Find Standard Deviation of Excel marks.</t>
  </si>
  <si>
    <t>Find Median of Statistics marks.</t>
  </si>
  <si>
    <t>Use CONCAT to combine Student_ID and Name.</t>
  </si>
  <si>
    <t>Que 22</t>
  </si>
  <si>
    <t>StudentID &amp; Name</t>
  </si>
  <si>
    <t>Que 23</t>
  </si>
  <si>
    <t>Use LEFT function to extract first 2 letters of Salesperson name</t>
  </si>
  <si>
    <t>Extract Name</t>
  </si>
  <si>
    <t>Que 25</t>
  </si>
  <si>
    <t>Filter orders where Product is Laptop and Quantity &gt; 1</t>
  </si>
  <si>
    <t>Que 26</t>
  </si>
  <si>
    <t>COUNTIFS</t>
  </si>
  <si>
    <t>Que 27</t>
  </si>
  <si>
    <t>Use ROUND to round Unit_Price to nearest thousand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</si>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</sst>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2" borderId="1" xfId="0" applyFill="1" applyBorder="1"/>
    <xf numFmtId="164" fontId="0" fillId="2" borderId="1" xfId="0" applyNumberFormat="1" applyFill="1" applyBorder="1"/>
    <xf numFmtId="2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/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3" borderId="0" xfId="0" applyFill="1" applyAlignment="1">
      <alignment horizontal="center" vertical="center"/>
    </xf>
    <xf numFmtId="0" fontId="0" fillId="5" borderId="1" xfId="0" applyFill="1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vertical="top" wrapText="1"/>
    </xf>
    <xf numFmtId="2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164" fontId="0" fillId="5" borderId="1" xfId="0" applyNumberFormat="1" applyFill="1" applyBorder="1"/>
    <xf numFmtId="0" fontId="0" fillId="4" borderId="1" xfId="0" applyFill="1" applyBorder="1" applyAlignment="1">
      <alignment horizontal="center" wrapText="1"/>
    </xf>
    <xf numFmtId="0" fontId="0" fillId="5" borderId="0" xfId="0" applyFill="1" applyAlignment="1">
      <alignment horizont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05.xlsx]Sheet1!PivotTable3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Sheet1!$B$71:$B$74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Sheet1!$C$71:$C$74</c:f>
              <c:numCache>
                <c:formatCode>General</c:formatCode>
                <c:ptCount val="3"/>
                <c:pt idx="0">
                  <c:v>225000</c:v>
                </c:pt>
                <c:pt idx="1">
                  <c:v>135000</c:v>
                </c:pt>
                <c:pt idx="2">
                  <c:v>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6-4DFC-96E1-911BD4D9F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0198543"/>
        <c:axId val="1342464815"/>
      </c:barChart>
      <c:catAx>
        <c:axId val="72019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464815"/>
        <c:crosses val="autoZero"/>
        <c:auto val="1"/>
        <c:lblAlgn val="ctr"/>
        <c:lblOffset val="100"/>
        <c:noMultiLvlLbl val="0"/>
      </c:catAx>
      <c:valAx>
        <c:axId val="134246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19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Sheet1!$Q$8</c:f>
              <c:strCache>
                <c:ptCount val="1"/>
                <c:pt idx="0">
                  <c:v>Excel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Sheet1!$N$9:$N$13</c:f>
              <c:strCache>
                <c:ptCount val="5"/>
                <c:pt idx="0">
                  <c:v>Rahul</c:v>
                </c:pt>
                <c:pt idx="1">
                  <c:v>Sneha</c:v>
                </c:pt>
                <c:pt idx="2">
                  <c:v>Arjun</c:v>
                </c:pt>
                <c:pt idx="3">
                  <c:v>Pooja</c:v>
                </c:pt>
                <c:pt idx="4">
                  <c:v>Vikas</c:v>
                </c:pt>
              </c:strCache>
            </c:strRef>
          </c:cat>
          <c:val>
            <c:numRef>
              <c:f>Sheet1!$Q$9:$Q$13</c:f>
              <c:numCache>
                <c:formatCode>General</c:formatCode>
                <c:ptCount val="5"/>
                <c:pt idx="0">
                  <c:v>85</c:v>
                </c:pt>
                <c:pt idx="1">
                  <c:v>90</c:v>
                </c:pt>
                <c:pt idx="2">
                  <c:v>72</c:v>
                </c:pt>
                <c:pt idx="3">
                  <c:v>94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69-47D4-A26E-5564FC3DD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9321839"/>
        <c:axId val="1342507055"/>
      </c:barChart>
      <c:catAx>
        <c:axId val="1289321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507055"/>
        <c:crosses val="autoZero"/>
        <c:auto val="1"/>
        <c:lblAlgn val="ctr"/>
        <c:lblOffset val="100"/>
        <c:noMultiLvlLbl val="0"/>
      </c:catAx>
      <c:valAx>
        <c:axId val="1342507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2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84</xdr:row>
      <xdr:rowOff>11430</xdr:rowOff>
    </xdr:from>
    <xdr:to>
      <xdr:col>6</xdr:col>
      <xdr:colOff>297180</xdr:colOff>
      <xdr:row>97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7BBA2-485B-FA0B-BB55-2832316EC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60960</xdr:colOff>
      <xdr:row>99</xdr:row>
      <xdr:rowOff>30480</xdr:rowOff>
    </xdr:from>
    <xdr:to>
      <xdr:col>6</xdr:col>
      <xdr:colOff>327660</xdr:colOff>
      <xdr:row>114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A131B9-1092-37BF-3376-9A7BA105E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SHIKA" refreshedDate="46217.649286805557" createdVersion="8" refreshedVersion="8" minRefreshableVersion="3" recordCount="6" xr:uid="{4936135C-77C5-4CBE-B55A-4714BA639C95}">
  <cacheSource type="worksheet">
    <worksheetSource ref="A1:J7" sheet="Sheet1"/>
  </cacheSource>
  <cacheFields count="10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164">
      <sharedItems/>
    </cacheField>
    <cacheField name="Total Sales" numFmtId="0">
      <sharedItems containsSemiMixedTypes="0" containsString="0" containsNumber="1" containsInteger="1" minValue="45000" maxValue="90000"/>
    </cacheField>
    <cacheField name="GST Amount" numFmtId="0">
      <sharedItems containsSemiMixedTypes="0" containsString="0" containsNumber="1" containsInteger="1" minValue="6480" maxValue="16200"/>
    </cacheField>
    <cacheField name="Final Amount" numFmtId="0">
      <sharedItems containsSemiMixedTypes="0" containsString="0" containsNumber="1" containsInteger="1" minValue="53100" maxValue="106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1"/>
    <x v="0"/>
    <s v="Amit"/>
    <x v="0"/>
    <n v="2"/>
    <n v="45000"/>
    <s v="05-01-2025"/>
    <n v="90000"/>
    <n v="16200"/>
    <n v="106200"/>
  </r>
  <r>
    <n v="302"/>
    <x v="1"/>
    <s v="Riya"/>
    <x v="1"/>
    <n v="5"/>
    <n v="15000"/>
    <s v="07-01-2025"/>
    <n v="75000"/>
    <n v="9000"/>
    <n v="84000"/>
  </r>
  <r>
    <n v="303"/>
    <x v="2"/>
    <s v="Kunal"/>
    <x v="2"/>
    <n v="3"/>
    <n v="18000"/>
    <s v="10-01-2025"/>
    <n v="54000"/>
    <n v="6480"/>
    <n v="60480"/>
  </r>
  <r>
    <n v="304"/>
    <x v="3"/>
    <s v="Neha"/>
    <x v="0"/>
    <n v="1"/>
    <n v="45000"/>
    <s v="12-01-2025"/>
    <n v="45000"/>
    <n v="8100"/>
    <n v="53100"/>
  </r>
  <r>
    <n v="305"/>
    <x v="0"/>
    <s v="Amit"/>
    <x v="1"/>
    <n v="4"/>
    <n v="15000"/>
    <s v="15-01-2025"/>
    <n v="60000"/>
    <n v="7200"/>
    <n v="67200"/>
  </r>
  <r>
    <n v="306"/>
    <x v="1"/>
    <s v="Riya"/>
    <x v="0"/>
    <n v="2"/>
    <n v="45000"/>
    <s v="18-01-2025"/>
    <n v="90000"/>
    <n v="16200"/>
    <n v="106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986AE-B03E-4492-A82A-3E352C7EE538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7:C82" firstHeaderRow="1" firstDataRow="1" firstDataCol="1"/>
  <pivotFields count="10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0E0F7-D36B-4677-AA87-235C3B9A672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70:C74" firstHeaderRow="1" firstDataRow="1" firstDataCol="1"/>
  <pivotFields count="1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4DE3A-D91A-46AD-AB46-D8EB583B208E}">
  <dimension ref="A1:R158"/>
  <sheetViews>
    <sheetView tabSelected="1" workbookViewId="0">
      <selection activeCell="F147" sqref="F147"/>
    </sheetView>
  </sheetViews>
  <sheetFormatPr defaultRowHeight="14.4" x14ac:dyDescent="0.3"/>
  <cols>
    <col min="2" max="2" width="16.5546875" customWidth="1"/>
    <col min="3" max="3" width="16.44140625" bestFit="1" customWidth="1"/>
    <col min="4" max="4" width="12.33203125" customWidth="1"/>
    <col min="5" max="5" width="10.33203125" customWidth="1"/>
    <col min="6" max="6" width="9.88671875" customWidth="1"/>
    <col min="7" max="7" width="17.109375" customWidth="1"/>
    <col min="8" max="8" width="9.77734375" customWidth="1"/>
    <col min="9" max="9" width="10.88671875" customWidth="1"/>
    <col min="10" max="10" width="12" customWidth="1"/>
    <col min="11" max="12" width="12.109375" customWidth="1"/>
    <col min="13" max="14" width="9.77734375" customWidth="1"/>
    <col min="15" max="15" width="6.21875" customWidth="1"/>
    <col min="16" max="16" width="7.88671875" customWidth="1"/>
    <col min="17" max="17" width="5.5546875" customWidth="1"/>
    <col min="18" max="18" width="12.33203125" customWidth="1"/>
  </cols>
  <sheetData>
    <row r="1" spans="1:18" ht="18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25</v>
      </c>
      <c r="I1" s="3" t="s">
        <v>30</v>
      </c>
      <c r="J1" s="3" t="s">
        <v>31</v>
      </c>
      <c r="M1" s="3" t="s">
        <v>3</v>
      </c>
      <c r="N1" s="3" t="s">
        <v>26</v>
      </c>
      <c r="O1" s="3" t="s">
        <v>27</v>
      </c>
    </row>
    <row r="2" spans="1:18" x14ac:dyDescent="0.3">
      <c r="A2" s="1">
        <v>301</v>
      </c>
      <c r="B2" s="1" t="s">
        <v>7</v>
      </c>
      <c r="C2" s="1" t="s">
        <v>8</v>
      </c>
      <c r="D2" s="1" t="s">
        <v>9</v>
      </c>
      <c r="E2" s="1">
        <v>2</v>
      </c>
      <c r="F2" s="1">
        <v>45000</v>
      </c>
      <c r="G2" s="2" t="s">
        <v>10</v>
      </c>
      <c r="H2" s="1">
        <f t="shared" ref="H2:H7" si="0">E2*F2</f>
        <v>90000</v>
      </c>
      <c r="I2" s="1">
        <f t="shared" ref="I2:I7" si="1">H2*VLOOKUP(D2,$M$1:$O$4,3,0)%</f>
        <v>16200</v>
      </c>
      <c r="J2" s="1">
        <f t="shared" ref="J2:J7" si="2">H2+I2</f>
        <v>106200</v>
      </c>
      <c r="M2" s="1" t="s">
        <v>9</v>
      </c>
      <c r="N2" s="1" t="s">
        <v>28</v>
      </c>
      <c r="O2" s="1">
        <v>18</v>
      </c>
    </row>
    <row r="3" spans="1:18" x14ac:dyDescent="0.3">
      <c r="A3" s="1">
        <v>306</v>
      </c>
      <c r="B3" s="1" t="s">
        <v>11</v>
      </c>
      <c r="C3" s="1" t="s">
        <v>12</v>
      </c>
      <c r="D3" s="1" t="s">
        <v>9</v>
      </c>
      <c r="E3" s="1">
        <v>2</v>
      </c>
      <c r="F3" s="1">
        <v>45000</v>
      </c>
      <c r="G3" s="2" t="s">
        <v>23</v>
      </c>
      <c r="H3" s="1">
        <f t="shared" si="0"/>
        <v>90000</v>
      </c>
      <c r="I3" s="1">
        <f t="shared" si="1"/>
        <v>16200</v>
      </c>
      <c r="J3" s="1">
        <f t="shared" si="2"/>
        <v>106200</v>
      </c>
      <c r="M3" s="1" t="s">
        <v>13</v>
      </c>
      <c r="N3" s="1" t="s">
        <v>28</v>
      </c>
      <c r="O3" s="1">
        <v>12</v>
      </c>
    </row>
    <row r="4" spans="1:18" x14ac:dyDescent="0.3">
      <c r="A4" s="1">
        <v>302</v>
      </c>
      <c r="B4" s="1" t="s">
        <v>11</v>
      </c>
      <c r="C4" s="1" t="s">
        <v>12</v>
      </c>
      <c r="D4" s="1" t="s">
        <v>13</v>
      </c>
      <c r="E4" s="1">
        <v>5</v>
      </c>
      <c r="F4" s="1">
        <v>15000</v>
      </c>
      <c r="G4" s="2" t="s">
        <v>14</v>
      </c>
      <c r="H4" s="1">
        <f t="shared" si="0"/>
        <v>75000</v>
      </c>
      <c r="I4" s="1">
        <f t="shared" si="1"/>
        <v>9000</v>
      </c>
      <c r="J4" s="1">
        <f t="shared" si="2"/>
        <v>84000</v>
      </c>
      <c r="M4" s="1" t="s">
        <v>17</v>
      </c>
      <c r="N4" s="1" t="s">
        <v>28</v>
      </c>
      <c r="O4" s="1">
        <v>12</v>
      </c>
    </row>
    <row r="5" spans="1:18" x14ac:dyDescent="0.3">
      <c r="A5" s="1">
        <v>305</v>
      </c>
      <c r="B5" s="1" t="s">
        <v>7</v>
      </c>
      <c r="C5" s="1" t="s">
        <v>8</v>
      </c>
      <c r="D5" s="1" t="s">
        <v>13</v>
      </c>
      <c r="E5" s="1">
        <v>4</v>
      </c>
      <c r="F5" s="1">
        <v>15000</v>
      </c>
      <c r="G5" s="2" t="s">
        <v>22</v>
      </c>
      <c r="H5" s="1">
        <f t="shared" si="0"/>
        <v>60000</v>
      </c>
      <c r="I5" s="1">
        <f t="shared" si="1"/>
        <v>7200</v>
      </c>
      <c r="J5" s="1">
        <f t="shared" si="2"/>
        <v>67200</v>
      </c>
    </row>
    <row r="6" spans="1:18" x14ac:dyDescent="0.3">
      <c r="A6" s="1">
        <v>303</v>
      </c>
      <c r="B6" s="1" t="s">
        <v>15</v>
      </c>
      <c r="C6" s="1" t="s">
        <v>16</v>
      </c>
      <c r="D6" s="1" t="s">
        <v>17</v>
      </c>
      <c r="E6" s="1">
        <v>3</v>
      </c>
      <c r="F6" s="1">
        <v>18000</v>
      </c>
      <c r="G6" s="2" t="s">
        <v>18</v>
      </c>
      <c r="H6" s="1">
        <f t="shared" si="0"/>
        <v>54000</v>
      </c>
      <c r="I6" s="1">
        <f t="shared" si="1"/>
        <v>6480</v>
      </c>
      <c r="J6" s="1">
        <f t="shared" si="2"/>
        <v>60480</v>
      </c>
    </row>
    <row r="7" spans="1:18" x14ac:dyDescent="0.3">
      <c r="A7" s="1">
        <v>304</v>
      </c>
      <c r="B7" s="1" t="s">
        <v>19</v>
      </c>
      <c r="C7" s="1" t="s">
        <v>20</v>
      </c>
      <c r="D7" s="1" t="s">
        <v>9</v>
      </c>
      <c r="E7" s="1">
        <v>1</v>
      </c>
      <c r="F7" s="1">
        <v>45000</v>
      </c>
      <c r="G7" s="2" t="s">
        <v>21</v>
      </c>
      <c r="H7" s="1">
        <f t="shared" si="0"/>
        <v>45000</v>
      </c>
      <c r="I7" s="1">
        <f t="shared" si="1"/>
        <v>8100</v>
      </c>
      <c r="J7" s="1">
        <f t="shared" si="2"/>
        <v>53100</v>
      </c>
    </row>
    <row r="8" spans="1:18" x14ac:dyDescent="0.3">
      <c r="H8" s="8" t="s">
        <v>24</v>
      </c>
      <c r="I8" s="8" t="s">
        <v>29</v>
      </c>
      <c r="J8" s="8" t="s">
        <v>33</v>
      </c>
      <c r="M8" s="3" t="s">
        <v>48</v>
      </c>
      <c r="N8" s="3" t="s">
        <v>49</v>
      </c>
      <c r="O8" s="3" t="s">
        <v>50</v>
      </c>
      <c r="P8" s="3" t="s">
        <v>51</v>
      </c>
      <c r="Q8" s="3" t="s">
        <v>52</v>
      </c>
      <c r="R8" s="3" t="s">
        <v>53</v>
      </c>
    </row>
    <row r="9" spans="1:18" x14ac:dyDescent="0.3">
      <c r="M9" s="1">
        <v>1</v>
      </c>
      <c r="N9" s="1" t="s">
        <v>54</v>
      </c>
      <c r="O9" s="1">
        <v>78</v>
      </c>
      <c r="P9" s="1">
        <v>82</v>
      </c>
      <c r="Q9" s="1">
        <v>85</v>
      </c>
      <c r="R9" s="1">
        <v>92</v>
      </c>
    </row>
    <row r="10" spans="1:18" x14ac:dyDescent="0.3">
      <c r="M10" s="1">
        <v>2</v>
      </c>
      <c r="N10" s="1" t="s">
        <v>55</v>
      </c>
      <c r="O10" s="1">
        <v>88</v>
      </c>
      <c r="P10" s="1">
        <v>91</v>
      </c>
      <c r="Q10" s="1">
        <v>90</v>
      </c>
      <c r="R10" s="1">
        <v>96</v>
      </c>
    </row>
    <row r="11" spans="1:18" x14ac:dyDescent="0.3">
      <c r="A11" s="8" t="s">
        <v>32</v>
      </c>
      <c r="B11" s="9" t="s">
        <v>34</v>
      </c>
      <c r="C11" s="1">
        <f>SUM(J2:J7)</f>
        <v>477180</v>
      </c>
      <c r="M11" s="1">
        <v>3</v>
      </c>
      <c r="N11" s="1" t="s">
        <v>56</v>
      </c>
      <c r="O11" s="1">
        <v>65</v>
      </c>
      <c r="P11" s="1">
        <v>70</v>
      </c>
      <c r="Q11" s="1">
        <v>72</v>
      </c>
      <c r="R11" s="1">
        <v>85</v>
      </c>
    </row>
    <row r="12" spans="1:18" x14ac:dyDescent="0.3">
      <c r="M12" s="1">
        <v>4</v>
      </c>
      <c r="N12" s="1" t="s">
        <v>57</v>
      </c>
      <c r="O12" s="1">
        <v>92</v>
      </c>
      <c r="P12" s="1">
        <v>89</v>
      </c>
      <c r="Q12" s="1">
        <v>94</v>
      </c>
      <c r="R12" s="1">
        <v>98</v>
      </c>
    </row>
    <row r="13" spans="1:18" x14ac:dyDescent="0.3">
      <c r="M13" s="1">
        <v>5</v>
      </c>
      <c r="N13" s="1" t="s">
        <v>58</v>
      </c>
      <c r="O13" s="1">
        <v>55</v>
      </c>
      <c r="P13" s="1">
        <v>60</v>
      </c>
      <c r="Q13" s="1">
        <v>58</v>
      </c>
      <c r="R13" s="1">
        <v>80</v>
      </c>
    </row>
    <row r="14" spans="1:18" ht="28.8" x14ac:dyDescent="0.3">
      <c r="A14" s="8" t="s">
        <v>35</v>
      </c>
      <c r="B14" s="10" t="s">
        <v>36</v>
      </c>
      <c r="C14" s="1">
        <f>COUNTA(A2:A7)</f>
        <v>6</v>
      </c>
    </row>
    <row r="17" spans="1:3" x14ac:dyDescent="0.3">
      <c r="A17" s="8" t="s">
        <v>37</v>
      </c>
      <c r="B17" s="9" t="s">
        <v>1</v>
      </c>
      <c r="C17" s="9" t="s">
        <v>38</v>
      </c>
    </row>
    <row r="18" spans="1:3" x14ac:dyDescent="0.3">
      <c r="B18" s="1" t="s">
        <v>7</v>
      </c>
      <c r="C18" s="1">
        <f>SUMIF(B2:B7,B2,H2:H7)</f>
        <v>150000</v>
      </c>
    </row>
    <row r="19" spans="1:3" x14ac:dyDescent="0.3">
      <c r="B19" s="1" t="s">
        <v>11</v>
      </c>
      <c r="C19" s="1">
        <f t="shared" ref="C19:C21" si="3">SUMIF(B3:B8,B3,H3:H8)</f>
        <v>165000</v>
      </c>
    </row>
    <row r="20" spans="1:3" x14ac:dyDescent="0.3">
      <c r="B20" s="1" t="s">
        <v>15</v>
      </c>
      <c r="C20" s="1">
        <f t="shared" si="3"/>
        <v>75000</v>
      </c>
    </row>
    <row r="21" spans="1:3" x14ac:dyDescent="0.3">
      <c r="B21" s="1" t="s">
        <v>19</v>
      </c>
      <c r="C21" s="1">
        <f t="shared" si="3"/>
        <v>60000</v>
      </c>
    </row>
    <row r="23" spans="1:3" x14ac:dyDescent="0.3">
      <c r="A23" s="8" t="s">
        <v>39</v>
      </c>
      <c r="B23" s="9" t="s">
        <v>4</v>
      </c>
    </row>
    <row r="24" spans="1:3" x14ac:dyDescent="0.3">
      <c r="B24" s="1" t="str">
        <f t="shared" ref="B24:B29" si="4">IF(E2&gt;3,"High","Low")</f>
        <v>Low</v>
      </c>
    </row>
    <row r="25" spans="1:3" x14ac:dyDescent="0.3">
      <c r="B25" s="1" t="str">
        <f t="shared" si="4"/>
        <v>Low</v>
      </c>
    </row>
    <row r="26" spans="1:3" x14ac:dyDescent="0.3">
      <c r="B26" s="1" t="str">
        <f t="shared" si="4"/>
        <v>High</v>
      </c>
    </row>
    <row r="27" spans="1:3" x14ac:dyDescent="0.3">
      <c r="B27" s="1" t="str">
        <f t="shared" si="4"/>
        <v>High</v>
      </c>
    </row>
    <row r="28" spans="1:3" x14ac:dyDescent="0.3">
      <c r="B28" s="1" t="str">
        <f t="shared" si="4"/>
        <v>Low</v>
      </c>
    </row>
    <row r="29" spans="1:3" x14ac:dyDescent="0.3">
      <c r="B29" s="1" t="str">
        <f t="shared" si="4"/>
        <v>Low</v>
      </c>
    </row>
    <row r="31" spans="1:3" x14ac:dyDescent="0.3">
      <c r="A31" s="8" t="s">
        <v>40</v>
      </c>
      <c r="B31" s="11" t="s">
        <v>31</v>
      </c>
    </row>
    <row r="33" spans="1:3" x14ac:dyDescent="0.3">
      <c r="B33" s="1" t="s">
        <v>41</v>
      </c>
      <c r="C33" s="1">
        <f>MAX(J2:J7)</f>
        <v>106200</v>
      </c>
    </row>
    <row r="34" spans="1:3" x14ac:dyDescent="0.3">
      <c r="B34" s="1" t="s">
        <v>42</v>
      </c>
      <c r="C34" s="1">
        <f>MIN(J2:J7)</f>
        <v>53100</v>
      </c>
    </row>
    <row r="36" spans="1:3" x14ac:dyDescent="0.3">
      <c r="A36" s="8" t="s">
        <v>43</v>
      </c>
      <c r="B36" s="9" t="s">
        <v>44</v>
      </c>
    </row>
    <row r="37" spans="1:3" x14ac:dyDescent="0.3">
      <c r="B37" s="1" t="str">
        <f t="shared" ref="B37:B42" si="5">TEXT(G2,"mmmm")</f>
        <v>January</v>
      </c>
    </row>
    <row r="38" spans="1:3" x14ac:dyDescent="0.3">
      <c r="B38" s="1" t="str">
        <f t="shared" si="5"/>
        <v>January</v>
      </c>
    </row>
    <row r="39" spans="1:3" x14ac:dyDescent="0.3">
      <c r="B39" s="1" t="str">
        <f t="shared" si="5"/>
        <v>January</v>
      </c>
    </row>
    <row r="40" spans="1:3" x14ac:dyDescent="0.3">
      <c r="B40" s="1" t="str">
        <f t="shared" si="5"/>
        <v>January</v>
      </c>
    </row>
    <row r="41" spans="1:3" x14ac:dyDescent="0.3">
      <c r="B41" s="1" t="str">
        <f t="shared" si="5"/>
        <v>January</v>
      </c>
    </row>
    <row r="42" spans="1:3" x14ac:dyDescent="0.3">
      <c r="B42" s="1" t="str">
        <f t="shared" si="5"/>
        <v>January</v>
      </c>
    </row>
    <row r="44" spans="1:3" x14ac:dyDescent="0.3">
      <c r="A44" s="8" t="s">
        <v>45</v>
      </c>
      <c r="B44" s="9" t="s">
        <v>3</v>
      </c>
      <c r="C44" s="9" t="s">
        <v>46</v>
      </c>
    </row>
    <row r="45" spans="1:3" x14ac:dyDescent="0.3">
      <c r="B45" s="1" t="s">
        <v>9</v>
      </c>
      <c r="C45" s="1" t="str">
        <f t="shared" ref="C45:C50" si="6">INDEX($N$2:$N$4,MATCH(D2,$M$2:$M$4,0))</f>
        <v>Electronics</v>
      </c>
    </row>
    <row r="46" spans="1:3" x14ac:dyDescent="0.3">
      <c r="B46" s="1" t="s">
        <v>13</v>
      </c>
      <c r="C46" s="1" t="str">
        <f t="shared" si="6"/>
        <v>Electronics</v>
      </c>
    </row>
    <row r="47" spans="1:3" x14ac:dyDescent="0.3">
      <c r="B47" s="1" t="s">
        <v>17</v>
      </c>
      <c r="C47" s="1" t="str">
        <f t="shared" si="6"/>
        <v>Electronics</v>
      </c>
    </row>
    <row r="48" spans="1:3" x14ac:dyDescent="0.3">
      <c r="B48" s="1" t="s">
        <v>9</v>
      </c>
      <c r="C48" s="1" t="str">
        <f t="shared" si="6"/>
        <v>Electronics</v>
      </c>
    </row>
    <row r="49" spans="1:3" x14ac:dyDescent="0.3">
      <c r="B49" s="1" t="s">
        <v>13</v>
      </c>
      <c r="C49" s="1" t="str">
        <f t="shared" si="6"/>
        <v>Electronics</v>
      </c>
    </row>
    <row r="50" spans="1:3" x14ac:dyDescent="0.3">
      <c r="B50" s="1" t="s">
        <v>9</v>
      </c>
      <c r="C50" s="1" t="str">
        <f t="shared" si="6"/>
        <v>Electronics</v>
      </c>
    </row>
    <row r="52" spans="1:3" x14ac:dyDescent="0.3">
      <c r="A52" s="8" t="s">
        <v>47</v>
      </c>
      <c r="B52" s="9" t="s">
        <v>59</v>
      </c>
      <c r="C52" s="9" t="s">
        <v>60</v>
      </c>
    </row>
    <row r="53" spans="1:3" x14ac:dyDescent="0.3">
      <c r="B53" s="1" t="s">
        <v>54</v>
      </c>
      <c r="C53" s="5">
        <f>AVERAGE(O9:Q9)</f>
        <v>81.666666666666671</v>
      </c>
    </row>
    <row r="54" spans="1:3" x14ac:dyDescent="0.3">
      <c r="B54" s="1" t="s">
        <v>55</v>
      </c>
      <c r="C54" s="5">
        <f>AVERAGE(O10:Q10)</f>
        <v>89.666666666666671</v>
      </c>
    </row>
    <row r="55" spans="1:3" x14ac:dyDescent="0.3">
      <c r="B55" s="1" t="s">
        <v>56</v>
      </c>
      <c r="C55" s="5">
        <f>AVERAGE(O11:Q11)</f>
        <v>69</v>
      </c>
    </row>
    <row r="56" spans="1:3" x14ac:dyDescent="0.3">
      <c r="B56" s="1" t="s">
        <v>57</v>
      </c>
      <c r="C56" s="5">
        <f>AVERAGE(O12:Q12)</f>
        <v>91.666666666666671</v>
      </c>
    </row>
    <row r="57" spans="1:3" x14ac:dyDescent="0.3">
      <c r="B57" s="1" t="s">
        <v>58</v>
      </c>
      <c r="C57" s="5">
        <f>AVERAGE(O13:Q13)</f>
        <v>57.666666666666664</v>
      </c>
    </row>
    <row r="59" spans="1:3" x14ac:dyDescent="0.3">
      <c r="A59" s="8" t="s">
        <v>61</v>
      </c>
      <c r="B59" s="9" t="s">
        <v>62</v>
      </c>
      <c r="C59" s="1" t="str">
        <f>INDEX(N9:N13,MATCH(MAX(C53:C57),C53:C57,0))</f>
        <v>Pooja</v>
      </c>
    </row>
    <row r="61" spans="1:3" ht="43.2" x14ac:dyDescent="0.3">
      <c r="A61" s="8" t="s">
        <v>63</v>
      </c>
      <c r="B61" s="20" t="s">
        <v>64</v>
      </c>
      <c r="C61" s="14">
        <f>COUNTIF(R9:R13,"&gt;90")</f>
        <v>3</v>
      </c>
    </row>
    <row r="62" spans="1:3" x14ac:dyDescent="0.3">
      <c r="B62" s="21"/>
      <c r="C62" s="22"/>
    </row>
    <row r="63" spans="1:3" x14ac:dyDescent="0.3">
      <c r="A63" s="8" t="s">
        <v>65</v>
      </c>
      <c r="B63" s="9" t="s">
        <v>49</v>
      </c>
      <c r="C63" s="9" t="s">
        <v>66</v>
      </c>
    </row>
    <row r="64" spans="1:3" x14ac:dyDescent="0.3">
      <c r="B64" s="1" t="s">
        <v>54</v>
      </c>
      <c r="C64" s="1" t="str">
        <f>IF(R9&gt;=85,"Eligible","Not Eligible")</f>
        <v>Eligible</v>
      </c>
    </row>
    <row r="65" spans="1:3" x14ac:dyDescent="0.3">
      <c r="B65" s="1" t="s">
        <v>55</v>
      </c>
      <c r="C65" s="1" t="str">
        <f>IF(R10&gt;=85,"Eligible","Not Eligible")</f>
        <v>Eligible</v>
      </c>
    </row>
    <row r="66" spans="1:3" x14ac:dyDescent="0.3">
      <c r="B66" s="1" t="s">
        <v>56</v>
      </c>
      <c r="C66" s="1" t="str">
        <f>IF(R11&gt;=85,"Eligible","Not Eligible")</f>
        <v>Eligible</v>
      </c>
    </row>
    <row r="67" spans="1:3" x14ac:dyDescent="0.3">
      <c r="B67" s="1" t="s">
        <v>57</v>
      </c>
      <c r="C67" s="1" t="str">
        <f>IF(R12&gt;=85,"Eligible","Not Eligible")</f>
        <v>Eligible</v>
      </c>
    </row>
    <row r="68" spans="1:3" x14ac:dyDescent="0.3">
      <c r="B68" s="1" t="s">
        <v>58</v>
      </c>
      <c r="C68" s="1" t="str">
        <f>IF(R13&gt;=85,"Eligible","Not Eligible")</f>
        <v>Not Eligible</v>
      </c>
    </row>
    <row r="69" spans="1:3" ht="14.4" customHeight="1" x14ac:dyDescent="0.3"/>
    <row r="70" spans="1:3" x14ac:dyDescent="0.3">
      <c r="A70" s="8" t="s">
        <v>67</v>
      </c>
      <c r="B70" s="6" t="s">
        <v>68</v>
      </c>
      <c r="C70" t="s">
        <v>70</v>
      </c>
    </row>
    <row r="71" spans="1:3" x14ac:dyDescent="0.3">
      <c r="B71" s="7" t="s">
        <v>9</v>
      </c>
      <c r="C71">
        <v>225000</v>
      </c>
    </row>
    <row r="72" spans="1:3" x14ac:dyDescent="0.3">
      <c r="B72" s="7" t="s">
        <v>13</v>
      </c>
      <c r="C72">
        <v>135000</v>
      </c>
    </row>
    <row r="73" spans="1:3" x14ac:dyDescent="0.3">
      <c r="B73" s="7" t="s">
        <v>17</v>
      </c>
      <c r="C73">
        <v>54000</v>
      </c>
    </row>
    <row r="74" spans="1:3" x14ac:dyDescent="0.3">
      <c r="B74" s="7" t="s">
        <v>69</v>
      </c>
      <c r="C74">
        <v>414000</v>
      </c>
    </row>
    <row r="77" spans="1:3" x14ac:dyDescent="0.3">
      <c r="A77" s="8" t="s">
        <v>71</v>
      </c>
      <c r="B77" s="6" t="s">
        <v>68</v>
      </c>
      <c r="C77" t="s">
        <v>70</v>
      </c>
    </row>
    <row r="78" spans="1:3" x14ac:dyDescent="0.3">
      <c r="B78" s="7" t="s">
        <v>15</v>
      </c>
      <c r="C78">
        <v>54000</v>
      </c>
    </row>
    <row r="79" spans="1:3" x14ac:dyDescent="0.3">
      <c r="B79" s="7" t="s">
        <v>7</v>
      </c>
      <c r="C79">
        <v>150000</v>
      </c>
    </row>
    <row r="80" spans="1:3" x14ac:dyDescent="0.3">
      <c r="B80" s="7" t="s">
        <v>11</v>
      </c>
      <c r="C80">
        <v>165000</v>
      </c>
    </row>
    <row r="81" spans="1:3" x14ac:dyDescent="0.3">
      <c r="B81" s="7" t="s">
        <v>19</v>
      </c>
      <c r="C81">
        <v>45000</v>
      </c>
    </row>
    <row r="82" spans="1:3" x14ac:dyDescent="0.3">
      <c r="B82" s="7" t="s">
        <v>69</v>
      </c>
      <c r="C82">
        <v>414000</v>
      </c>
    </row>
    <row r="85" spans="1:3" x14ac:dyDescent="0.3">
      <c r="A85" s="8" t="s">
        <v>72</v>
      </c>
    </row>
    <row r="92" spans="1:3" ht="13.2" customHeight="1" x14ac:dyDescent="0.3"/>
    <row r="100" spans="1:1" x14ac:dyDescent="0.3">
      <c r="A100" s="8" t="s">
        <v>73</v>
      </c>
    </row>
    <row r="117" spans="1:4" ht="28.8" x14ac:dyDescent="0.3">
      <c r="A117" s="12" t="s">
        <v>74</v>
      </c>
      <c r="B117" s="15" t="s">
        <v>77</v>
      </c>
      <c r="C117" s="14">
        <f>MEDIAN(P9:P13)</f>
        <v>82</v>
      </c>
    </row>
    <row r="119" spans="1:4" ht="43.2" x14ac:dyDescent="0.3">
      <c r="A119" s="12" t="s">
        <v>75</v>
      </c>
      <c r="B119" s="10" t="s">
        <v>76</v>
      </c>
      <c r="C119" s="16">
        <f>_xlfn.STDEV.S(Q9:Q13)</f>
        <v>14.737706741552426</v>
      </c>
    </row>
    <row r="121" spans="1:4" x14ac:dyDescent="0.3">
      <c r="A121" s="8" t="s">
        <v>79</v>
      </c>
      <c r="B121" s="23" t="s">
        <v>78</v>
      </c>
      <c r="C121" s="23"/>
      <c r="D121" s="23"/>
    </row>
    <row r="123" spans="1:4" x14ac:dyDescent="0.3">
      <c r="B123" s="17" t="s">
        <v>80</v>
      </c>
    </row>
    <row r="124" spans="1:4" x14ac:dyDescent="0.3">
      <c r="B124" s="18" t="str">
        <f>_xlfn.CONCAT(M9," - ",N9)</f>
        <v>1 - Rahul</v>
      </c>
    </row>
    <row r="125" spans="1:4" x14ac:dyDescent="0.3">
      <c r="B125" s="18" t="str">
        <f>_xlfn.CONCAT(M10," - ",N10)</f>
        <v>2 - Sneha</v>
      </c>
    </row>
    <row r="126" spans="1:4" x14ac:dyDescent="0.3">
      <c r="B126" s="18" t="str">
        <f>_xlfn.CONCAT(M11," - ",N11)</f>
        <v>3 - Arjun</v>
      </c>
    </row>
    <row r="127" spans="1:4" ht="14.4" customHeight="1" x14ac:dyDescent="0.3">
      <c r="B127" s="18" t="str">
        <f>_xlfn.CONCAT(M12," - ",N12)</f>
        <v>4 - Pooja</v>
      </c>
    </row>
    <row r="128" spans="1:4" x14ac:dyDescent="0.3">
      <c r="B128" s="18" t="str">
        <f>_xlfn.CONCAT(M13," - ",N13)</f>
        <v>5 - Vikas</v>
      </c>
    </row>
    <row r="129" spans="1:11" ht="13.8" customHeight="1" x14ac:dyDescent="0.3"/>
    <row r="130" spans="1:11" x14ac:dyDescent="0.3">
      <c r="A130" s="8" t="s">
        <v>81</v>
      </c>
      <c r="B130" s="23" t="s">
        <v>82</v>
      </c>
      <c r="C130" s="23"/>
      <c r="D130" s="23"/>
      <c r="E130" s="23"/>
    </row>
    <row r="132" spans="1:11" x14ac:dyDescent="0.3">
      <c r="B132" s="17" t="s">
        <v>83</v>
      </c>
    </row>
    <row r="133" spans="1:11" x14ac:dyDescent="0.3">
      <c r="B133" s="18" t="str">
        <f t="shared" ref="B133:B138" si="7">LEFT(C2,2)</f>
        <v>Am</v>
      </c>
    </row>
    <row r="134" spans="1:11" x14ac:dyDescent="0.3">
      <c r="B134" s="18" t="str">
        <f t="shared" si="7"/>
        <v>Ri</v>
      </c>
    </row>
    <row r="135" spans="1:11" x14ac:dyDescent="0.3">
      <c r="B135" s="18" t="str">
        <f t="shared" si="7"/>
        <v>Ri</v>
      </c>
    </row>
    <row r="136" spans="1:11" x14ac:dyDescent="0.3">
      <c r="B136" s="18" t="str">
        <f t="shared" si="7"/>
        <v>Am</v>
      </c>
    </row>
    <row r="137" spans="1:11" x14ac:dyDescent="0.3">
      <c r="B137" s="18" t="str">
        <f t="shared" si="7"/>
        <v>Ku</v>
      </c>
    </row>
    <row r="138" spans="1:11" x14ac:dyDescent="0.3">
      <c r="B138" s="18" t="str">
        <f t="shared" si="7"/>
        <v>Ne</v>
      </c>
    </row>
    <row r="140" spans="1:11" x14ac:dyDescent="0.3">
      <c r="A140" s="8" t="s">
        <v>84</v>
      </c>
      <c r="B140" s="23" t="s">
        <v>85</v>
      </c>
      <c r="C140" s="23"/>
      <c r="D140" s="23"/>
    </row>
    <row r="142" spans="1:11" x14ac:dyDescent="0.3">
      <c r="B142" s="13" t="s">
        <v>0</v>
      </c>
      <c r="C142" s="13" t="s">
        <v>1</v>
      </c>
      <c r="D142" s="13" t="s">
        <v>2</v>
      </c>
      <c r="E142" s="13" t="s">
        <v>3</v>
      </c>
      <c r="F142" s="13" t="s">
        <v>4</v>
      </c>
      <c r="G142" s="13" t="s">
        <v>5</v>
      </c>
      <c r="H142" s="19" t="s">
        <v>6</v>
      </c>
      <c r="I142" s="13" t="s">
        <v>25</v>
      </c>
      <c r="J142" s="13" t="s">
        <v>30</v>
      </c>
      <c r="K142" s="13" t="s">
        <v>31</v>
      </c>
    </row>
    <row r="143" spans="1:11" x14ac:dyDescent="0.3">
      <c r="B143" s="1" cm="1">
        <f t="array" ref="B143:K144">_xlfn._xlws.FILTER(A2:J7,(D2:D7="Laptop")*E2:E7&gt;1)</f>
        <v>301</v>
      </c>
      <c r="C143" s="1" t="str">
        <v>North</v>
      </c>
      <c r="D143" s="1" t="str">
        <v>Amit</v>
      </c>
      <c r="E143" s="1" t="str">
        <v>Laptop</v>
      </c>
      <c r="F143" s="1">
        <v>2</v>
      </c>
      <c r="G143" s="1">
        <v>45000</v>
      </c>
      <c r="H143" s="1" t="str">
        <v>05-01-2025</v>
      </c>
      <c r="I143" s="1">
        <v>90000</v>
      </c>
      <c r="J143" s="1">
        <v>16200</v>
      </c>
      <c r="K143" s="1">
        <v>106200</v>
      </c>
    </row>
    <row r="144" spans="1:11" x14ac:dyDescent="0.3">
      <c r="B144" s="1">
        <v>306</v>
      </c>
      <c r="C144" s="1" t="str">
        <v>South</v>
      </c>
      <c r="D144" s="1" t="str">
        <v>Riya</v>
      </c>
      <c r="E144" s="1" t="str">
        <v>Laptop</v>
      </c>
      <c r="F144" s="1">
        <v>2</v>
      </c>
      <c r="G144" s="1">
        <v>45000</v>
      </c>
      <c r="H144" s="1" t="str">
        <v>18-01-2025</v>
      </c>
      <c r="I144" s="1">
        <v>90000</v>
      </c>
      <c r="J144" s="1">
        <v>16200</v>
      </c>
      <c r="K144" s="1">
        <v>106200</v>
      </c>
    </row>
    <row r="146" spans="1:6" x14ac:dyDescent="0.3">
      <c r="A146" s="8" t="s">
        <v>86</v>
      </c>
    </row>
    <row r="147" spans="1:6" x14ac:dyDescent="0.3">
      <c r="B147" s="9" t="s">
        <v>1</v>
      </c>
      <c r="C147" s="9" t="s">
        <v>3</v>
      </c>
      <c r="D147" s="9" t="s">
        <v>87</v>
      </c>
    </row>
    <row r="148" spans="1:6" x14ac:dyDescent="0.3">
      <c r="B148" s="27" t="s">
        <v>7</v>
      </c>
      <c r="C148" s="27" t="s">
        <v>9</v>
      </c>
      <c r="D148" s="27">
        <f>COUNTIFS(D2:D7,"Laptop",B2:B7,"North")</f>
        <v>1</v>
      </c>
    </row>
    <row r="150" spans="1:6" x14ac:dyDescent="0.3">
      <c r="A150" s="8" t="s">
        <v>88</v>
      </c>
      <c r="B150" s="23" t="s">
        <v>89</v>
      </c>
      <c r="C150" s="23"/>
      <c r="D150" s="23"/>
      <c r="E150" s="24"/>
      <c r="F150" s="24"/>
    </row>
    <row r="152" spans="1:6" x14ac:dyDescent="0.3">
      <c r="C152" s="25" t="s">
        <v>90</v>
      </c>
    </row>
    <row r="153" spans="1:6" x14ac:dyDescent="0.3">
      <c r="C153" s="26">
        <f>ROUND(F2,-3)</f>
        <v>45000</v>
      </c>
    </row>
    <row r="154" spans="1:6" x14ac:dyDescent="0.3">
      <c r="C154" s="26">
        <f>ROUND(F3,-3)</f>
        <v>45000</v>
      </c>
    </row>
    <row r="155" spans="1:6" x14ac:dyDescent="0.3">
      <c r="C155" s="26">
        <f>ROUND(F4,-3)</f>
        <v>15000</v>
      </c>
    </row>
    <row r="156" spans="1:6" x14ac:dyDescent="0.3">
      <c r="C156" s="26">
        <f>ROUND(F5,-3)</f>
        <v>15000</v>
      </c>
    </row>
    <row r="157" spans="1:6" x14ac:dyDescent="0.3">
      <c r="C157" s="26">
        <f>ROUND(F6,-3)</f>
        <v>18000</v>
      </c>
    </row>
    <row r="158" spans="1:6" x14ac:dyDescent="0.3">
      <c r="C158" s="26">
        <f>ROUND(F7,-3)</f>
        <v>45000</v>
      </c>
    </row>
  </sheetData>
  <sortState xmlns:xlrd2="http://schemas.microsoft.com/office/spreadsheetml/2017/richdata2" ref="A2:J7">
    <sortCondition descending="1" ref="J2:J7"/>
  </sortState>
  <mergeCells count="4">
    <mergeCell ref="B130:E130"/>
    <mergeCell ref="B140:D140"/>
    <mergeCell ref="B121:D121"/>
    <mergeCell ref="B150:D150"/>
  </mergeCells>
  <conditionalFormatting sqref="J2:J7">
    <cfRule type="cellIs" dxfId="0" priority="1" operator="greaterThan">
      <formula>60000</formula>
    </cfRule>
  </conditionalFormatting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Vanshika Patel</cp:lastModifiedBy>
  <dcterms:created xsi:type="dcterms:W3CDTF">2026-07-12T09:03:47Z</dcterms:created>
  <dcterms:modified xsi:type="dcterms:W3CDTF">2026-07-15T14:26:37Z</dcterms:modified>
</cp:coreProperties>
</file>