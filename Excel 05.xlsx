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3\Desktop\"/>
    </mc:Choice>
  </mc:AlternateContent>
  <xr:revisionPtr revIDLastSave="0" documentId="8_{C423AF57-EB18-455B-A6D1-BD2D98F30615}" xr6:coauthVersionLast="47" xr6:coauthVersionMax="47" xr10:uidLastSave="{00000000-0000-0000-0000-000000000000}"/>
  <bookViews>
    <workbookView xWindow="-120" yWindow="-120" windowWidth="20730" windowHeight="11040" xr2:uid="{CBA3C351-9A2F-4049-9811-1966866914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0" i="1" l="1"/>
  <c r="B61" i="1"/>
  <c r="B62" i="1"/>
  <c r="B63" i="1"/>
  <c r="B64" i="1"/>
  <c r="B65" i="1"/>
  <c r="C57" i="1"/>
  <c r="C56" i="1"/>
  <c r="B48" i="1"/>
  <c r="B49" i="1"/>
  <c r="B50" i="1"/>
  <c r="B51" i="1"/>
  <c r="B52" i="1"/>
  <c r="B47" i="1"/>
  <c r="C44" i="1"/>
  <c r="C42" i="1"/>
  <c r="C43" i="1"/>
  <c r="C41" i="1"/>
  <c r="B38" i="1"/>
  <c r="B35" i="1"/>
  <c r="B28" i="1"/>
  <c r="B29" i="1"/>
  <c r="B30" i="1"/>
  <c r="B31" i="1"/>
  <c r="B32" i="1"/>
  <c r="B27" i="1"/>
  <c r="B20" i="1"/>
  <c r="B21" i="1"/>
  <c r="B22" i="1"/>
  <c r="B23" i="1"/>
  <c r="B24" i="1"/>
  <c r="B19" i="1"/>
  <c r="B12" i="1"/>
  <c r="B13" i="1"/>
  <c r="B14" i="1"/>
  <c r="B15" i="1"/>
  <c r="B16" i="1"/>
  <c r="B11" i="1"/>
</calcChain>
</file>

<file path=xl/sharedStrings.xml><?xml version="1.0" encoding="utf-8"?>
<sst xmlns="http://schemas.openxmlformats.org/spreadsheetml/2006/main" count="65" uniqueCount="46">
  <si>
    <t>Order_ID</t>
  </si>
  <si>
    <t>Region</t>
  </si>
  <si>
    <t>Salesperson</t>
  </si>
  <si>
    <t>Product</t>
  </si>
  <si>
    <t>Quantity</t>
  </si>
  <si>
    <t>Unit_Price</t>
  </si>
  <si>
    <t>Sales_Date</t>
  </si>
  <si>
    <t>North</t>
  </si>
  <si>
    <t>Amit</t>
  </si>
  <si>
    <t>Laptop</t>
  </si>
  <si>
    <t>05-01-2025</t>
  </si>
  <si>
    <t>South</t>
  </si>
  <si>
    <t>Riya</t>
  </si>
  <si>
    <t>Mobile</t>
  </si>
  <si>
    <t>07-01-2025</t>
  </si>
  <si>
    <t>East</t>
  </si>
  <si>
    <t>Kunal</t>
  </si>
  <si>
    <t>Tablet</t>
  </si>
  <si>
    <t>10-01-2025</t>
  </si>
  <si>
    <t>West</t>
  </si>
  <si>
    <t>Neha</t>
  </si>
  <si>
    <t>12-01-2025</t>
  </si>
  <si>
    <t>15-01-2025</t>
  </si>
  <si>
    <t>18-01-2025</t>
  </si>
  <si>
    <t>Que 01</t>
  </si>
  <si>
    <t>Total Sales</t>
  </si>
  <si>
    <t>Category</t>
  </si>
  <si>
    <t>GST_%</t>
  </si>
  <si>
    <t>Electronics</t>
  </si>
  <si>
    <t>Que 02</t>
  </si>
  <si>
    <t>GST Amount</t>
  </si>
  <si>
    <t>Final Amount</t>
  </si>
  <si>
    <t>Que 04</t>
  </si>
  <si>
    <t>Que0 03</t>
  </si>
  <si>
    <t xml:space="preserve"> Grand Total</t>
  </si>
  <si>
    <t>Que 05</t>
  </si>
  <si>
    <t>Total no. of Orders</t>
  </si>
  <si>
    <t>Que 06</t>
  </si>
  <si>
    <t>Total sales</t>
  </si>
  <si>
    <t>Que 07</t>
  </si>
  <si>
    <t>Que 08</t>
  </si>
  <si>
    <t>Final Amt</t>
  </si>
  <si>
    <t>Max</t>
  </si>
  <si>
    <t>Min</t>
  </si>
  <si>
    <t>Que 09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</si>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</sst>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-F800]dddd\,\ mmmm\ dd\,\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0" xfId="0"/>
    <xf numFmtId="0" fontId="0" fillId="0" borderId="0" xfId="0"/>
    <xf numFmtId="0" fontId="0" fillId="0" borderId="0" xfId="0" applyAlignment="1"/>
    <xf numFmtId="16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4DE3A-D91A-46AD-AB46-D8EB583B208E}">
  <dimension ref="A1:L65"/>
  <sheetViews>
    <sheetView tabSelected="1" workbookViewId="0">
      <selection activeCell="C60" sqref="C60"/>
    </sheetView>
  </sheetViews>
  <sheetFormatPr defaultRowHeight="15" x14ac:dyDescent="0.25"/>
  <cols>
    <col min="2" max="2" width="12.85546875" customWidth="1"/>
    <col min="3" max="3" width="11.7109375" customWidth="1"/>
    <col min="6" max="6" width="9.85546875" customWidth="1"/>
    <col min="7" max="7" width="17.140625" customWidth="1"/>
    <col min="10" max="10" width="10.28515625" customWidth="1"/>
    <col min="11" max="12" width="12.140625" customWidth="1"/>
  </cols>
  <sheetData>
    <row r="1" spans="1:12" ht="1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6</v>
      </c>
      <c r="J1" s="1" t="s">
        <v>3</v>
      </c>
      <c r="K1" s="1" t="s">
        <v>26</v>
      </c>
      <c r="L1" s="1" t="s">
        <v>27</v>
      </c>
    </row>
    <row r="2" spans="1:12" x14ac:dyDescent="0.25">
      <c r="A2" s="1">
        <v>301</v>
      </c>
      <c r="B2" s="1" t="s">
        <v>7</v>
      </c>
      <c r="C2" s="1" t="s">
        <v>8</v>
      </c>
      <c r="D2" s="1" t="s">
        <v>9</v>
      </c>
      <c r="E2" s="1">
        <v>2</v>
      </c>
      <c r="F2" s="1">
        <v>45000</v>
      </c>
      <c r="G2" s="5" t="s">
        <v>10</v>
      </c>
      <c r="J2" s="1" t="s">
        <v>9</v>
      </c>
      <c r="K2" s="1" t="s">
        <v>28</v>
      </c>
      <c r="L2" s="1">
        <v>18</v>
      </c>
    </row>
    <row r="3" spans="1:12" x14ac:dyDescent="0.25">
      <c r="A3" s="1">
        <v>302</v>
      </c>
      <c r="B3" s="1" t="s">
        <v>11</v>
      </c>
      <c r="C3" s="1" t="s">
        <v>12</v>
      </c>
      <c r="D3" s="1" t="s">
        <v>13</v>
      </c>
      <c r="E3" s="1">
        <v>5</v>
      </c>
      <c r="F3" s="1">
        <v>15000</v>
      </c>
      <c r="G3" s="5" t="s">
        <v>14</v>
      </c>
      <c r="J3" s="1" t="s">
        <v>13</v>
      </c>
      <c r="K3" s="1" t="s">
        <v>28</v>
      </c>
      <c r="L3" s="1">
        <v>12</v>
      </c>
    </row>
    <row r="4" spans="1:12" x14ac:dyDescent="0.25">
      <c r="A4" s="1">
        <v>303</v>
      </c>
      <c r="B4" s="1" t="s">
        <v>15</v>
      </c>
      <c r="C4" s="1" t="s">
        <v>16</v>
      </c>
      <c r="D4" s="1" t="s">
        <v>17</v>
      </c>
      <c r="E4" s="1">
        <v>3</v>
      </c>
      <c r="F4" s="1">
        <v>18000</v>
      </c>
      <c r="G4" s="5" t="s">
        <v>18</v>
      </c>
      <c r="J4" s="1" t="s">
        <v>17</v>
      </c>
      <c r="K4" s="1" t="s">
        <v>28</v>
      </c>
      <c r="L4" s="1">
        <v>12</v>
      </c>
    </row>
    <row r="5" spans="1:12" x14ac:dyDescent="0.25">
      <c r="A5" s="1">
        <v>304</v>
      </c>
      <c r="B5" s="1" t="s">
        <v>19</v>
      </c>
      <c r="C5" s="1" t="s">
        <v>20</v>
      </c>
      <c r="D5" s="1" t="s">
        <v>9</v>
      </c>
      <c r="E5" s="1">
        <v>1</v>
      </c>
      <c r="F5" s="1">
        <v>45000</v>
      </c>
      <c r="G5" s="5" t="s">
        <v>21</v>
      </c>
    </row>
    <row r="6" spans="1:12" x14ac:dyDescent="0.25">
      <c r="A6" s="1">
        <v>305</v>
      </c>
      <c r="B6" s="1" t="s">
        <v>7</v>
      </c>
      <c r="C6" s="1" t="s">
        <v>8</v>
      </c>
      <c r="D6" s="1" t="s">
        <v>13</v>
      </c>
      <c r="E6" s="1">
        <v>4</v>
      </c>
      <c r="F6" s="1">
        <v>15000</v>
      </c>
      <c r="G6" s="5" t="s">
        <v>22</v>
      </c>
    </row>
    <row r="7" spans="1:12" x14ac:dyDescent="0.25">
      <c r="A7" s="1">
        <v>306</v>
      </c>
      <c r="B7" s="1" t="s">
        <v>11</v>
      </c>
      <c r="C7" s="1" t="s">
        <v>12</v>
      </c>
      <c r="D7" s="1" t="s">
        <v>9</v>
      </c>
      <c r="E7" s="1">
        <v>2</v>
      </c>
      <c r="F7" s="1">
        <v>45000</v>
      </c>
      <c r="G7" s="5" t="s">
        <v>23</v>
      </c>
    </row>
    <row r="10" spans="1:12" x14ac:dyDescent="0.25">
      <c r="A10" t="s">
        <v>24</v>
      </c>
      <c r="B10" t="s">
        <v>25</v>
      </c>
    </row>
    <row r="11" spans="1:12" x14ac:dyDescent="0.25">
      <c r="B11">
        <f>E2*F2</f>
        <v>90000</v>
      </c>
    </row>
    <row r="12" spans="1:12" x14ac:dyDescent="0.25">
      <c r="B12" s="2">
        <f t="shared" ref="B12:B16" si="0">E3*F3</f>
        <v>75000</v>
      </c>
    </row>
    <row r="13" spans="1:12" x14ac:dyDescent="0.25">
      <c r="B13" s="2">
        <f t="shared" si="0"/>
        <v>54000</v>
      </c>
    </row>
    <row r="14" spans="1:12" x14ac:dyDescent="0.25">
      <c r="B14" s="2">
        <f t="shared" si="0"/>
        <v>45000</v>
      </c>
    </row>
    <row r="15" spans="1:12" x14ac:dyDescent="0.25">
      <c r="B15" s="2">
        <f t="shared" si="0"/>
        <v>60000</v>
      </c>
    </row>
    <row r="16" spans="1:12" x14ac:dyDescent="0.25">
      <c r="B16" s="2">
        <f t="shared" si="0"/>
        <v>90000</v>
      </c>
    </row>
    <row r="18" spans="1:2" x14ac:dyDescent="0.25">
      <c r="A18" t="s">
        <v>29</v>
      </c>
      <c r="B18" t="s">
        <v>30</v>
      </c>
    </row>
    <row r="19" spans="1:2" x14ac:dyDescent="0.25">
      <c r="B19">
        <f>B11*VLOOKUP(D2,$J$1:$L$4,3,0)%</f>
        <v>16200</v>
      </c>
    </row>
    <row r="20" spans="1:2" x14ac:dyDescent="0.25">
      <c r="B20" s="3">
        <f t="shared" ref="B20:B24" si="1">B12*VLOOKUP(D3,$J$1:$L$4,3,0)%</f>
        <v>9000</v>
      </c>
    </row>
    <row r="21" spans="1:2" x14ac:dyDescent="0.25">
      <c r="B21" s="3">
        <f t="shared" si="1"/>
        <v>6480</v>
      </c>
    </row>
    <row r="22" spans="1:2" x14ac:dyDescent="0.25">
      <c r="B22" s="3">
        <f t="shared" si="1"/>
        <v>8100</v>
      </c>
    </row>
    <row r="23" spans="1:2" x14ac:dyDescent="0.25">
      <c r="B23" s="3">
        <f t="shared" si="1"/>
        <v>7200</v>
      </c>
    </row>
    <row r="24" spans="1:2" x14ac:dyDescent="0.25">
      <c r="B24" s="3">
        <f t="shared" si="1"/>
        <v>16200</v>
      </c>
    </row>
    <row r="26" spans="1:2" x14ac:dyDescent="0.25">
      <c r="A26" t="s">
        <v>33</v>
      </c>
      <c r="B26" t="s">
        <v>31</v>
      </c>
    </row>
    <row r="27" spans="1:2" x14ac:dyDescent="0.25">
      <c r="B27">
        <f>B11+B19</f>
        <v>106200</v>
      </c>
    </row>
    <row r="28" spans="1:2" x14ac:dyDescent="0.25">
      <c r="B28" s="3">
        <f t="shared" ref="B28:B32" si="2">B12+B20</f>
        <v>84000</v>
      </c>
    </row>
    <row r="29" spans="1:2" x14ac:dyDescent="0.25">
      <c r="B29" s="3">
        <f t="shared" si="2"/>
        <v>60480</v>
      </c>
    </row>
    <row r="30" spans="1:2" x14ac:dyDescent="0.25">
      <c r="B30" s="3">
        <f t="shared" si="2"/>
        <v>53100</v>
      </c>
    </row>
    <row r="31" spans="1:2" x14ac:dyDescent="0.25">
      <c r="B31" s="3">
        <f t="shared" si="2"/>
        <v>67200</v>
      </c>
    </row>
    <row r="32" spans="1:2" x14ac:dyDescent="0.25">
      <c r="B32" s="3">
        <f t="shared" si="2"/>
        <v>106200</v>
      </c>
    </row>
    <row r="34" spans="1:3" x14ac:dyDescent="0.25">
      <c r="A34" t="s">
        <v>32</v>
      </c>
      <c r="B34" t="s">
        <v>34</v>
      </c>
    </row>
    <row r="35" spans="1:3" x14ac:dyDescent="0.25">
      <c r="B35">
        <f>SUM(B27:B32)</f>
        <v>477180</v>
      </c>
    </row>
    <row r="37" spans="1:3" x14ac:dyDescent="0.25">
      <c r="A37" t="s">
        <v>35</v>
      </c>
      <c r="B37" s="4" t="s">
        <v>36</v>
      </c>
      <c r="C37" s="4"/>
    </row>
    <row r="38" spans="1:3" x14ac:dyDescent="0.25">
      <c r="B38">
        <f>COUNTA(A2:A7)</f>
        <v>6</v>
      </c>
    </row>
    <row r="40" spans="1:3" x14ac:dyDescent="0.25">
      <c r="A40" t="s">
        <v>37</v>
      </c>
      <c r="B40" s="1" t="s">
        <v>1</v>
      </c>
      <c r="C40" s="1" t="s">
        <v>38</v>
      </c>
    </row>
    <row r="41" spans="1:3" x14ac:dyDescent="0.25">
      <c r="B41" s="1" t="s">
        <v>7</v>
      </c>
      <c r="C41" s="1">
        <f>SUMIF(B2:B7,B2,B11:B16)</f>
        <v>150000</v>
      </c>
    </row>
    <row r="42" spans="1:3" x14ac:dyDescent="0.25">
      <c r="B42" s="1" t="s">
        <v>11</v>
      </c>
      <c r="C42" s="1">
        <f>SUMIF(B3:B8,B3,B12:B17)</f>
        <v>165000</v>
      </c>
    </row>
    <row r="43" spans="1:3" x14ac:dyDescent="0.25">
      <c r="B43" s="1" t="s">
        <v>15</v>
      </c>
      <c r="C43" s="1">
        <f t="shared" ref="C42:C44" si="3">SUMIF(B4:B9,B4,B13:B18)</f>
        <v>54000</v>
      </c>
    </row>
    <row r="44" spans="1:3" x14ac:dyDescent="0.25">
      <c r="B44" s="1" t="s">
        <v>19</v>
      </c>
      <c r="C44" s="1">
        <f>SUMIF(B5:B10,B5,B14:B19)</f>
        <v>45000</v>
      </c>
    </row>
    <row r="46" spans="1:3" x14ac:dyDescent="0.25">
      <c r="A46" t="s">
        <v>39</v>
      </c>
      <c r="B46" t="s">
        <v>4</v>
      </c>
    </row>
    <row r="47" spans="1:3" x14ac:dyDescent="0.25">
      <c r="B47" t="str">
        <f>IF(E2&gt;3,"High","Low")</f>
        <v>Low</v>
      </c>
    </row>
    <row r="48" spans="1:3" x14ac:dyDescent="0.25">
      <c r="B48" s="3" t="str">
        <f t="shared" ref="B48:B52" si="4">IF(E3&gt;3,"High","Low")</f>
        <v>High</v>
      </c>
    </row>
    <row r="49" spans="1:3" x14ac:dyDescent="0.25">
      <c r="B49" s="3" t="str">
        <f t="shared" si="4"/>
        <v>Low</v>
      </c>
    </row>
    <row r="50" spans="1:3" x14ac:dyDescent="0.25">
      <c r="B50" s="3" t="str">
        <f t="shared" si="4"/>
        <v>Low</v>
      </c>
    </row>
    <row r="51" spans="1:3" x14ac:dyDescent="0.25">
      <c r="B51" s="3" t="str">
        <f t="shared" si="4"/>
        <v>High</v>
      </c>
    </row>
    <row r="52" spans="1:3" x14ac:dyDescent="0.25">
      <c r="B52" s="3" t="str">
        <f t="shared" si="4"/>
        <v>Low</v>
      </c>
    </row>
    <row r="53" spans="1:3" x14ac:dyDescent="0.25">
      <c r="B53" s="3"/>
    </row>
    <row r="54" spans="1:3" x14ac:dyDescent="0.25">
      <c r="A54" t="s">
        <v>40</v>
      </c>
      <c r="B54" s="3" t="s">
        <v>41</v>
      </c>
    </row>
    <row r="56" spans="1:3" x14ac:dyDescent="0.25">
      <c r="B56" s="1" t="s">
        <v>42</v>
      </c>
      <c r="C56" s="1">
        <f>MAX(B27:B32)</f>
        <v>106200</v>
      </c>
    </row>
    <row r="57" spans="1:3" x14ac:dyDescent="0.25">
      <c r="B57" s="1" t="s">
        <v>43</v>
      </c>
      <c r="C57" s="1">
        <f>MIN(B27:B32)</f>
        <v>53100</v>
      </c>
    </row>
    <row r="59" spans="1:3" x14ac:dyDescent="0.25">
      <c r="A59" t="s">
        <v>44</v>
      </c>
      <c r="B59" t="s">
        <v>45</v>
      </c>
    </row>
    <row r="60" spans="1:3" x14ac:dyDescent="0.25">
      <c r="B60" t="str">
        <f>TEXT(G2,"mmmm")</f>
        <v>January</v>
      </c>
    </row>
    <row r="61" spans="1:3" x14ac:dyDescent="0.25">
      <c r="B61" s="3" t="str">
        <f t="shared" ref="B61:B65" si="5">TEXT(G3,"mmmm")</f>
        <v>January</v>
      </c>
    </row>
    <row r="62" spans="1:3" x14ac:dyDescent="0.25">
      <c r="B62" s="3" t="str">
        <f t="shared" si="5"/>
        <v>January</v>
      </c>
    </row>
    <row r="63" spans="1:3" x14ac:dyDescent="0.25">
      <c r="B63" s="3" t="str">
        <f t="shared" si="5"/>
        <v>January</v>
      </c>
    </row>
    <row r="64" spans="1:3" x14ac:dyDescent="0.25">
      <c r="B64" s="3" t="str">
        <f t="shared" si="5"/>
        <v>January</v>
      </c>
    </row>
    <row r="65" spans="2:2" x14ac:dyDescent="0.25">
      <c r="B65" s="3" t="str">
        <f t="shared" si="5"/>
        <v>January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ASDC3</dc:creator>
  <cp:lastModifiedBy>ASDC3</cp:lastModifiedBy>
  <dcterms:created xsi:type="dcterms:W3CDTF">2026-07-12T09:03:47Z</dcterms:created>
  <dcterms:modified xsi:type="dcterms:W3CDTF">2026-07-12T09:59:33Z</dcterms:modified>
</cp:coreProperties>
</file>